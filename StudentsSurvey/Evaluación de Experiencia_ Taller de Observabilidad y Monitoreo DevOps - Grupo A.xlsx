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10"/>
  <workbookPr/>
  <mc:AlternateContent xmlns:mc="http://schemas.openxmlformats.org/markup-compatibility/2006">
    <mc:Choice Requires="x15">
      <x15ac:absPath xmlns:x15ac="http://schemas.microsoft.com/office/spreadsheetml/2010/11/ac" url="C:\Users\qinzen\Downloads\"/>
    </mc:Choice>
  </mc:AlternateContent>
  <xr:revisionPtr revIDLastSave="0" documentId="8_{D9AC875F-B980-4685-97A1-8B82F4D1C9C5}" xr6:coauthVersionLast="47" xr6:coauthVersionMax="47" xr10:uidLastSave="{00000000-0000-0000-0000-000000000000}"/>
  <bookViews>
    <workbookView xWindow="0" yWindow="0" windowWidth="28800" windowHeight="13905" xr2:uid="{00000000-000D-0000-FFFF-FFFF00000000}"/>
  </bookViews>
  <sheets>
    <sheet name="Respuestas Encuesta Final" sheetId="1" r:id="rId1"/>
    <sheet name="Consenso Nota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 l="1" a="1"/>
  <c r="H3" i="2"/>
  <c r="H4" i="2" a="1"/>
  <c r="H4" i="2"/>
  <c r="H5" i="2" a="1"/>
  <c r="H5" i="2"/>
  <c r="H6" i="2" a="1"/>
  <c r="H6" i="2"/>
  <c r="H7" i="2" a="1"/>
  <c r="H7" i="2"/>
  <c r="H8" i="2" a="1"/>
  <c r="H8" i="2"/>
  <c r="H9" i="2" a="1"/>
  <c r="H9" i="2"/>
  <c r="H10" i="2" a="1"/>
  <c r="H10" i="2"/>
  <c r="H11" i="2" a="1"/>
  <c r="H11" i="2"/>
  <c r="H2" i="2" a="1"/>
  <c r="H2" i="2"/>
  <c r="AF2" i="1"/>
  <c r="AF3" i="1"/>
  <c r="AF4" i="1"/>
  <c r="AF5" i="1"/>
  <c r="AF6" i="1"/>
  <c r="AF7" i="1"/>
  <c r="AF8" i="1"/>
  <c r="AF9" i="1"/>
  <c r="AF10" i="1"/>
  <c r="AF1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<sst xmlns="http://schemas.openxmlformats.org/spreadsheetml/2006/main" count="310" uniqueCount="84">
  <si>
    <t>¿En qué semestre académico se encuentra actualmente? </t>
  </si>
  <si>
    <t>Con respecto al conocimiento adquirido durante el taller evalua las siguientes afirmaciones.Entiendo claramente qué es un log y para qué se utiliza.</t>
  </si>
  <si>
    <t>Con respecto al conocimiento adquirido durante el taller evalua las siguientes afirmaciones.Entiendo claramente qué es una métrica y para qué se utiliza.</t>
  </si>
  <si>
    <t>Con respecto al conocimiento adquirido durante el taller evalua las siguientes afirmaciones.Entiendo claramente qué es una traza y para qué se utiliza.</t>
  </si>
  <si>
    <t>Con respecto al conocimiento adquirido durante el taller evalua las siguientes afirmaciones.Comprendo bien la diferencia entre logs, métricas y trazas.</t>
  </si>
  <si>
    <t>Con respecto al conocimiento adquirido durante el taller evalua las siguientes afirmaciones.Siento que puedo usar logs y métricas para analizar el comportamiento de un sistema.</t>
  </si>
  <si>
    <t>En tus palabras describe brevemente qué es un log, una métrica y una traza, y para qué usarías cada uno.</t>
  </si>
  <si>
    <t>Con respecto a tu experiencia con la Etapa 1: Preparación del ambiente de laboratorio..Nivel de dificultad percibida</t>
  </si>
  <si>
    <t>Con respecto a tu experiencia con la Etapa 1: Preparación del ambiente de laboratorio..Nivel de frustración percibido</t>
  </si>
  <si>
    <t>Con respecto a tu experiencia con la Etapa 1: Preparación del ambiente de laboratorio..Nivel de conocimiento adquirido</t>
  </si>
  <si>
    <t xml:space="preserve">¿Cuánto tiempo (en minutos) te tomó terminar esta etapa? (Puedes encontrar el tiempo en el informe final de la documentación del laboratorio)
</t>
  </si>
  <si>
    <t>Con respecto a tu experiencia con la Etapa 2: Creación y visualización de métricas y logs.Nivel de dificultad percibida</t>
  </si>
  <si>
    <t>Con respecto a tu experiencia con la Etapa 2: Creación y visualización de métricas y logs.Nivel de frustración percibido</t>
  </si>
  <si>
    <t>Con respecto a tu experiencia con la Etapa 2: Creación y visualización de métricas y logs.Nivel de conocimiento adquirido</t>
  </si>
  <si>
    <t>¿Cuánto tiempo (en minutos) te tomó terminar esta etapa? (Puedes encontrar el tiempo en el informe final de la documentación del laboratorio)
1</t>
  </si>
  <si>
    <t>Con respecto a tu experiencia con la Etapa 3 :  Experimentación y análisis.Nivel de dificultad percibida</t>
  </si>
  <si>
    <t>Con respecto a tu experiencia con la Etapa 3 :  Experimentación y análisis.Nivel de frustración percibido</t>
  </si>
  <si>
    <t>Con respecto a tu experiencia con la Etapa 3 :  Experimentación y análisis.Nivel de conocimiento adquirido</t>
  </si>
  <si>
    <t>¿Cuánto tiempo (en minutos) te tomó terminar esta etapa? (Puedes encontrar el tiempo en el informe final de la documentación del laboratorio)
2</t>
  </si>
  <si>
    <t>Cuál fue tu progreso en el taller? (Última etapa finalizada)</t>
  </si>
  <si>
    <t>Con respecto a tu experiencia en el laboratorio responde : .Considero que las tareas de configuración y aprovisionamiento del entorno aportan valor al aprendizaje, incluso cuando no están directamente</t>
  </si>
  <si>
    <t>Con respecto a tu experiencia en el laboratorio responde : .Preferiría trabajar con un entorno previamente configurado para dedicar más tiempo a los contenidos propios de la asignatura.</t>
  </si>
  <si>
    <t>Con respecto a tu experiencia en el laboratorio responde : .Considero que aprender a aprovisionar y configurar infraestructura es importante para mi desarrollo profesional.</t>
  </si>
  <si>
    <t>Con respecto a tu experiencia en el laboratorio responde : .Me siento capaz de aprovisionar y configurar un entorno similar sin ayuda adicional</t>
  </si>
  <si>
    <t>Con respecto a tu experiencia en el laboratorio responde : .Sentí que la configuración consumió tiempo que hubiera preferido invertir en las otras etapas del taller</t>
  </si>
  <si>
    <t>Con respecto a tu experiencia en el laboratorio responde : .El entorno funcionó como esperaba sin presentar obstáculos técnicos innecesarios.</t>
  </si>
  <si>
    <t>Con respecto a tu experiencia en el laboratorio responde : .El proceso de configuración interrumpió mi flujo de trabajo o concentración.</t>
  </si>
  <si>
    <t>Con respecto a tu experiencia en el laboratorio responde : .Considero que las instrucciones o herramientas provistas para aprovisionar el entorno fueron claras y útiles para mi aprendizaje.</t>
  </si>
  <si>
    <t>Comparte tus comentarios generales sobre la experiencia (Qué te gustó más, Qué fue más llamativo, Qué se debería mejorar, etc. )</t>
  </si>
  <si>
    <t>Comparte tus sugerencias de mejora sobre la experiencia del taller.</t>
  </si>
  <si>
    <t>Califica tu experiencia con el laboratorio</t>
  </si>
  <si>
    <t>Tiempo Total gastado (calculado)</t>
  </si>
  <si>
    <t>Comparte aqui el repositorio de Github que utilizaste durante la sesión.</t>
  </si>
  <si>
    <t>Nota Final</t>
  </si>
  <si>
    <t>De acuerdo</t>
  </si>
  <si>
    <t>Neutral</t>
  </si>
  <si>
    <t>Un log es un registro donde se "guardan" los eventos que ocurren dentro de un sistema, lo usaria para saber cual es el estado del mismo y de donde provienen los errores.
Una metrica es un dato que mide el rendimiento de alguna caracteristica en especifico(por ejemplo, uso de la CPU), la usaria cuando precisamente necesito validar el rendimiento de algo en especifico dentro del sistema.
Una traza es el paso a paso al que se le hace seguimiento de algun proceso dentro del sistema. Lo usaria cuando necesite saber sobre el flujo que esta siguiendo una solicitud en mi sistema.</t>
  </si>
  <si>
    <t>Bajo</t>
  </si>
  <si>
    <t>Alto</t>
  </si>
  <si>
    <t>Medio</t>
  </si>
  <si>
    <t>Etapa 2.1</t>
  </si>
  <si>
    <t>En desacuerdo</t>
  </si>
  <si>
    <t>Siento que fue un poco extenso el laboratorio, sin embargo contenia una buena guia y buenos ejercicios.</t>
  </si>
  <si>
    <t>ANONIMIZADO</t>
  </si>
  <si>
    <t>Un log es un registro sobre un evento ocurrido dentro del sistema, una metrica da informacion numerica o detallada sobre algo relevente dentro de la apliacion, una traza restrea un evento dentro del sistema. Usaria el log para solucionar errores o bugs, las metricas para medir el rendimiento del sistema y una traza para analisar el wokflow de la apliacion</t>
  </si>
  <si>
    <t>Muy alto</t>
  </si>
  <si>
    <t>Etapa 3 (Taller completo)</t>
  </si>
  <si>
    <t>Muy de acuerdo</t>
  </si>
  <si>
    <t>Muy en desacuerdo</t>
  </si>
  <si>
    <t>Me gusto que el laboratorio fue muy intuitivo, tenia un paso a paso e invitaba a explorar las herramientas y el codigo usado</t>
  </si>
  <si>
    <t>Un log es entendido como un registro en el que se guardan los eventos que van sucediendo dentro de un sistema o a lo largo de un api. Este se puede usar para mirar los errores o posibles eventos que sucedan a lo largo de la compilacion, es util para indentificar exactamente donde ocurre el error.
Una metrica es un valor numerico que mide el estado o rendimiento de algo en un tiempo.
Una traza muestra como una peticion se mueve o viaja por los respectivos microservicios o componentes de un sistema</t>
  </si>
  <si>
    <t>Fue interesante y muy intuitivo mas sin embargo no me alcanzo el tiempo y acabe bastante cansado</t>
  </si>
  <si>
    <t>Un log es como un diario que nos permite llevar un registro de los eventos que consideremos importantes en un sistema, una traza nos permite ver todo lo que pasa en un proceso , por ejemplo, una solicitud, una métrica es aquella que cuenta la información, por ejemplo, memoria , solicitudes en un rango de tiempo, etc.</t>
  </si>
  <si>
    <t>Muy bajo</t>
  </si>
  <si>
    <t xml:space="preserve">fue una experiencia muy buena, debido a que sentí un gran apoyo de parte de los profesores, guías y documentos muy específicos. </t>
  </si>
  <si>
    <t xml:space="preserve">log es un archivo de texto o registro que documenta eventos, errores o acciones específicas ocurridas en una aplicación o sistema con una marca de tiempo.
Métricas son datos numéricos medidos y recopilados a lo largo del tiempo que indican el rendimiento o la salud de la aplicación.
Traza es la representación del viaje o recorrido de una solicitud específica a través de los diferentes componentes o microservicios de un sistema distribuido.
</t>
  </si>
  <si>
    <t xml:space="preserve">me gusto mucho la actividad, tal vez es la hora y el cansancio que no me permitió ser más rápida con la actividad </t>
  </si>
  <si>
    <t>Un log es un registro textual de eventos que ocurren dentro de una aplicación. Normalmente incluye información como la fecha, el nivel del mensaje (INFO, WARN, ERROR), el componente que lo genera y un mensaje descriptivo para ver el comportamiento de ciertos fragmentos de nuestra aplicación.
Una métrica es un valor numérico que representa el comportamiento de una aplicación a lo largo del tiempo. 
Una traza representa el recorrido completo de una solicitud dentro de un sistema, especialmente cuando la petición pasa por varios servicios o componentes.</t>
  </si>
  <si>
    <t xml:space="preserve">Lo que más me gustó fue el paso a paso para entender la herramienta de grafana y el apoyo que tuvimos con las dificultades, las explicaciones fueron claras. Fue útil este taller para poder comprender el funcionamiento, hacer dashboards y entender las métricas del sistema. Lo más llamativo fue crear dos métricas nuevas y poder entender el comportamiento de las que pudimos implementar desafiando la poca experiencia con la herramienta.
</t>
  </si>
  <si>
    <t>Un log es un registro escrito que nos permite ver qué es lo que ha pasado en el sistema en momentos específicos. 
Una métrica es un valor que nos permite monitorear el sistema.
Una traza es el camino de una solicitud que se realiza.</t>
  </si>
  <si>
    <t>Me gustó que fuera un tema bastante nuevo pues hasta este momento de mi pregrado no había tenido ninguna experiencia similiar. 
Las instrucciones fueron bastante claras e ilustrativas lo que permitió un mejor desarrollo y que fuera mucho más fluido y divertido.
Como fue el primer acercamiento a estas herramientas nos tomó tiempo adaptarnos, es por esto que siento que no logramos completar las etapas.</t>
  </si>
  <si>
    <t xml:space="preserve">Log: permite revisar de manera especifica los errores que pueden ocurrir en tiempo de ejecución.
Métrica: Permite regir estadisticas acerca de un aspecto
Traza: Gráfica que muestra el proceso en donde ocurre un error </t>
  </si>
  <si>
    <t>Esta experiencia, me hizo darme cuenta la importancia que puede llegar a tener las metricas, logs, trazas a través de paneles realizados en grafana.</t>
  </si>
  <si>
    <t>Los logs permiten mostrarnos informacion importante que se registra en nuestros sistemas como errores, informacion y alertas, la metrica son valores que nos ayudan en diversas etapas del proceso de desarrollo de software y una traza es un proceso donde se puede identificar un error</t>
  </si>
  <si>
    <t xml:space="preserve">Me gusto mucho que el ambiente de trabajo estaba bien realizado con pasos claros y una guia detallada de lo que se tenia que hacer y era intuitivo tambien que los instructores estaban pendientes si llegaban a surgir errores lo llamativo fue la implementacion de los dashboards y el como se visualizaban las metricas  </t>
  </si>
  <si>
    <t>Un log es la información en puntos de chequeo, y también visualizar las respuestas que colocamos en el manejo de errores, al igual que la respuesta de cada una de las peticiones.
La métrica nos muestra el comportamiento en el tiempo, lo que nos permite identificar picos de uso, o si el problema es persistente, por último, la traza es donde podemos identificar en que proceso tenemos problemas, dado el tiempo de ejecución.</t>
  </si>
  <si>
    <t>Etapa 2.2</t>
  </si>
  <si>
    <t xml:space="preserve">Me gusto bastante la métrica personalizada, ya que fue el entender y la conexión completa a esta. también enfrentar mis propios errores </t>
  </si>
  <si>
    <t>H1</t>
  </si>
  <si>
    <t>H2</t>
  </si>
  <si>
    <t>H3</t>
  </si>
  <si>
    <t>H4</t>
  </si>
  <si>
    <t>H5</t>
  </si>
  <si>
    <t>H6</t>
  </si>
  <si>
    <t>H7</t>
  </si>
  <si>
    <t>Nota</t>
  </si>
  <si>
    <t>Comentario</t>
  </si>
  <si>
    <t>Regular,  No puso dashboard inicial con las 4 visualizaciones, las metricas propuestas no tenian filtro y no hizo lo demas</t>
  </si>
  <si>
    <t>Nice</t>
  </si>
  <si>
    <t xml:space="preserve">Le falto secc 2.2 y 3, metricas propuestas con mala calidad y sin relacion, dashboard general no cumple con lo pedido </t>
  </si>
  <si>
    <t xml:space="preserve">Bien en general, no avanzo con la metrica custom solo la propuso y no hizo seccion 3  </t>
  </si>
  <si>
    <t>Bien en general, documento todo, algun uso evidente de IA en lo ultimo</t>
  </si>
  <si>
    <t xml:space="preserve">no completa la bitacora, muy regular </t>
  </si>
  <si>
    <t>iba bien pero no puso la segunda metrica propuesta ni la descripcion de ahi para adelante no termino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</si>
</sst>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6">
    <xf numFmtId="0" fontId="0" fillId="0" borderId="0" xfId="0"/>
    <xf numFmtId="0" fontId="0" fillId="0" borderId="0" xfId="0" applyAlignment="1">
      <alignment wrapText="1"/>
    </xf>
    <xf numFmtId="49" fontId="0" fillId="0" borderId="0" xfId="0" applyNumberFormat="1"/>
    <xf numFmtId="49" fontId="0" fillId="0" borderId="0" xfId="0" applyNumberFormat="1" applyAlignment="1">
      <alignment wrapText="1"/>
    </xf>
    <xf numFmtId="0" fontId="1" fillId="2" borderId="1" xfId="0" applyFont="1" applyFill="1" applyBorder="1"/>
    <xf numFmtId="0" fontId="0" fillId="3" borderId="1" xfId="0" applyFill="1" applyBorder="1"/>
  </cellXfs>
  <cellStyles count="1">
    <cellStyle name="Normal" xfId="0" builtinId="0"/>
  </cellStyles>
  <dxfs count="34">
    <dxf>
      <numFmt numFmtId="30" formatCode="@"/>
    </dxf>
    <dxf>
      <numFmt numFmtId="30" formatCode="@"/>
    </dxf>
    <dxf>
      <numFmt numFmtId="30" formatCode="@"/>
    </dxf>
    <dxf>
      <numFmt numFmtId="0" formatCode="General"/>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H11" totalsRowShown="0">
  <autoFilter ref="A1:AH11" xr:uid="{00000000-0009-0000-0100-000001000000}"/>
  <tableColumns count="34">
    <tableColumn id="6" xr3:uid="{00000000-0010-0000-0000-000006000000}" name="¿En qué semestre académico se encuentra actualmente? " dataDxfId="33">
      <extLst>
        <ext xmlns:xlmsforms="http://schemas.microsoft.com/office/spreadsheetml/2023/msForms" uri="{FCC71383-01E1-4257-9335-427F07BE8D7F}">
          <xlmsforms:question id="r4165eb0d0d9c48c2b0fb88bc249f9ad2"/>
        </ext>
      </extLst>
    </tableColumn>
    <tableColumn id="7" xr3:uid="{00000000-0010-0000-0000-000007000000}" name="Con respecto al conocimiento adquirido durante el taller evalua las siguientes afirmaciones.Entiendo claramente qué es un log y para qué se utiliza." dataDxfId="32">
      <extLst>
        <ext xmlns:xlmsforms="http://schemas.microsoft.com/office/spreadsheetml/2023/msForms" uri="{FCC71383-01E1-4257-9335-427F07BE8D7F}">
          <xlmsforms:question id="ra6ea9fd92a1040f182d8d2be90fe0483"/>
        </ext>
      </extLst>
    </tableColumn>
    <tableColumn id="8" xr3:uid="{00000000-0010-0000-0000-000008000000}" name="Con respecto al conocimiento adquirido durante el taller evalua las siguientes afirmaciones.Entiendo claramente qué es una métrica y para qué se utiliza." dataDxfId="31">
      <extLst>
        <ext xmlns:xlmsforms="http://schemas.microsoft.com/office/spreadsheetml/2023/msForms" uri="{FCC71383-01E1-4257-9335-427F07BE8D7F}">
          <xlmsforms:question id="r69522fbba0d7493cad096e3e59722466"/>
        </ext>
      </extLst>
    </tableColumn>
    <tableColumn id="9" xr3:uid="{00000000-0010-0000-0000-000009000000}" name="Con respecto al conocimiento adquirido durante el taller evalua las siguientes afirmaciones.Entiendo claramente qué es una traza y para qué se utiliza." dataDxfId="30">
      <extLst>
        <ext xmlns:xlmsforms="http://schemas.microsoft.com/office/spreadsheetml/2023/msForms" uri="{FCC71383-01E1-4257-9335-427F07BE8D7F}">
          <xlmsforms:question id="r8dc2244241674d1cad9fb57d4ff63019"/>
        </ext>
      </extLst>
    </tableColumn>
    <tableColumn id="10" xr3:uid="{00000000-0010-0000-0000-00000A000000}" name="Con respecto al conocimiento adquirido durante el taller evalua las siguientes afirmaciones.Comprendo bien la diferencia entre logs, métricas y trazas." dataDxfId="29">
      <extLst>
        <ext xmlns:xlmsforms="http://schemas.microsoft.com/office/spreadsheetml/2023/msForms" uri="{FCC71383-01E1-4257-9335-427F07BE8D7F}">
          <xlmsforms:question id="re3b32cd147854361919408148274595b"/>
        </ext>
      </extLst>
    </tableColumn>
    <tableColumn id="11" xr3:uid="{00000000-0010-0000-0000-00000B000000}" name="Con respecto al conocimiento adquirido durante el taller evalua las siguientes afirmaciones.Siento que puedo usar logs y métricas para analizar el comportamiento de un sistema." dataDxfId="28">
      <extLst>
        <ext xmlns:xlmsforms="http://schemas.microsoft.com/office/spreadsheetml/2023/msForms" uri="{FCC71383-01E1-4257-9335-427F07BE8D7F}">
          <xlmsforms:question id="rcd9ad8d740cc411bb225d736a51f895c"/>
        </ext>
      </extLst>
    </tableColumn>
    <tableColumn id="12" xr3:uid="{00000000-0010-0000-0000-00000C000000}" name="En tus palabras describe brevemente qué es un log, una métrica y una traza, y para qué usarías cada uno." dataDxfId="27">
      <extLst>
        <ext xmlns:xlmsforms="http://schemas.microsoft.com/office/spreadsheetml/2023/msForms" uri="{FCC71383-01E1-4257-9335-427F07BE8D7F}">
          <xlmsforms:question id="rf69b6fad80e7455791be2c4dd869509a"/>
        </ext>
      </extLst>
    </tableColumn>
    <tableColumn id="13" xr3:uid="{00000000-0010-0000-0000-00000D000000}" name="Con respecto a tu experiencia con la Etapa 1: Preparación del ambiente de laboratorio..Nivel de dificultad percibida" dataDxfId="26">
      <extLst>
        <ext xmlns:xlmsforms="http://schemas.microsoft.com/office/spreadsheetml/2023/msForms" uri="{FCC71383-01E1-4257-9335-427F07BE8D7F}">
          <xlmsforms:question id="r68c186a95f61439395171a3f3b8cc23a"/>
        </ext>
      </extLst>
    </tableColumn>
    <tableColumn id="14" xr3:uid="{00000000-0010-0000-0000-00000E000000}" name="Con respecto a tu experiencia con la Etapa 1: Preparación del ambiente de laboratorio..Nivel de frustración percibido" dataDxfId="25">
      <extLst>
        <ext xmlns:xlmsforms="http://schemas.microsoft.com/office/spreadsheetml/2023/msForms" uri="{FCC71383-01E1-4257-9335-427F07BE8D7F}">
          <xlmsforms:question id="r20a76e2a8c954ae2b25c1ecdfd81362f"/>
        </ext>
      </extLst>
    </tableColumn>
    <tableColumn id="15" xr3:uid="{00000000-0010-0000-0000-00000F000000}" name="Con respecto a tu experiencia con la Etapa 1: Preparación del ambiente de laboratorio..Nivel de conocimiento adquirido" dataDxfId="24">
      <extLst>
        <ext xmlns:xlmsforms="http://schemas.microsoft.com/office/spreadsheetml/2023/msForms" uri="{FCC71383-01E1-4257-9335-427F07BE8D7F}">
          <xlmsforms:question id="r55299974774d4d2e8b951e59f0581a49"/>
        </ext>
      </extLst>
    </tableColumn>
    <tableColumn id="16" xr3:uid="{00000000-0010-0000-0000-000010000000}" name="¿Cuánto tiempo (en minutos) te tomó terminar esta etapa? (Puedes encontrar el tiempo en el informe final de la documentación del laboratorio)_x000a_" dataDxfId="23">
      <extLst>
        <ext xmlns:xlmsforms="http://schemas.microsoft.com/office/spreadsheetml/2023/msForms" uri="{FCC71383-01E1-4257-9335-427F07BE8D7F}">
          <xlmsforms:question id="r92708bd446194bcfbdba3f004a5e3d36"/>
        </ext>
      </extLst>
    </tableColumn>
    <tableColumn id="17" xr3:uid="{00000000-0010-0000-0000-000011000000}" name="Con respecto a tu experiencia con la Etapa 2: Creación y visualización de métricas y logs.Nivel de dificultad percibida" dataDxfId="22">
      <extLst>
        <ext xmlns:xlmsforms="http://schemas.microsoft.com/office/spreadsheetml/2023/msForms" uri="{FCC71383-01E1-4257-9335-427F07BE8D7F}">
          <xlmsforms:question id="rf4b900a40162410f9d765ad2b77164a8"/>
        </ext>
      </extLst>
    </tableColumn>
    <tableColumn id="18" xr3:uid="{00000000-0010-0000-0000-000012000000}" name="Con respecto a tu experiencia con la Etapa 2: Creación y visualización de métricas y logs.Nivel de frustración percibido" dataDxfId="21">
      <extLst>
        <ext xmlns:xlmsforms="http://schemas.microsoft.com/office/spreadsheetml/2023/msForms" uri="{FCC71383-01E1-4257-9335-427F07BE8D7F}">
          <xlmsforms:question id="rb272c5f7ed454959bde3464171e89551"/>
        </ext>
      </extLst>
    </tableColumn>
    <tableColumn id="19" xr3:uid="{00000000-0010-0000-0000-000013000000}" name="Con respecto a tu experiencia con la Etapa 2: Creación y visualización de métricas y logs.Nivel de conocimiento adquirido" dataDxfId="20">
      <extLst>
        <ext xmlns:xlmsforms="http://schemas.microsoft.com/office/spreadsheetml/2023/msForms" uri="{FCC71383-01E1-4257-9335-427F07BE8D7F}">
          <xlmsforms:question id="r9bf552e7addc48b2973d6c55c54dcf65"/>
        </ext>
      </extLst>
    </tableColumn>
    <tableColumn id="20" xr3:uid="{00000000-0010-0000-0000-000014000000}" name="¿Cuánto tiempo (en minutos) te tomó terminar esta etapa? (Puedes encontrar el tiempo en el informe final de la documentación del laboratorio)_x000a_1" dataDxfId="19">
      <extLst>
        <ext xmlns:xlmsforms="http://schemas.microsoft.com/office/spreadsheetml/2023/msForms" uri="{FCC71383-01E1-4257-9335-427F07BE8D7F}">
          <xlmsforms:question id="r30d17ca8fccf4f91b8cca318b2cea312"/>
        </ext>
      </extLst>
    </tableColumn>
    <tableColumn id="21" xr3:uid="{00000000-0010-0000-0000-000015000000}" name="Con respecto a tu experiencia con la Etapa 3 :  Experimentación y análisis.Nivel de dificultad percibida" dataDxfId="18">
      <extLst>
        <ext xmlns:xlmsforms="http://schemas.microsoft.com/office/spreadsheetml/2023/msForms" uri="{FCC71383-01E1-4257-9335-427F07BE8D7F}">
          <xlmsforms:question id="rc9fbcfc81d90470ba87d6c27b8a7bb93"/>
        </ext>
      </extLst>
    </tableColumn>
    <tableColumn id="22" xr3:uid="{00000000-0010-0000-0000-000016000000}" name="Con respecto a tu experiencia con la Etapa 3 :  Experimentación y análisis.Nivel de frustración percibido" dataDxfId="17">
      <extLst>
        <ext xmlns:xlmsforms="http://schemas.microsoft.com/office/spreadsheetml/2023/msForms" uri="{FCC71383-01E1-4257-9335-427F07BE8D7F}">
          <xlmsforms:question id="r8c91fb66114f4edc82d5da423f3bad98"/>
        </ext>
      </extLst>
    </tableColumn>
    <tableColumn id="23" xr3:uid="{00000000-0010-0000-0000-000017000000}" name="Con respecto a tu experiencia con la Etapa 3 :  Experimentación y análisis.Nivel de conocimiento adquirido" dataDxfId="16">
      <extLst>
        <ext xmlns:xlmsforms="http://schemas.microsoft.com/office/spreadsheetml/2023/msForms" uri="{FCC71383-01E1-4257-9335-427F07BE8D7F}">
          <xlmsforms:question id="r10b0edf129334f51b430dd7344e1f5cf"/>
        </ext>
      </extLst>
    </tableColumn>
    <tableColumn id="24" xr3:uid="{00000000-0010-0000-0000-000018000000}" name="¿Cuánto tiempo (en minutos) te tomó terminar esta etapa? (Puedes encontrar el tiempo en el informe final de la documentación del laboratorio)_x000a_2" dataDxfId="15">
      <extLst>
        <ext xmlns:xlmsforms="http://schemas.microsoft.com/office/spreadsheetml/2023/msForms" uri="{FCC71383-01E1-4257-9335-427F07BE8D7F}">
          <xlmsforms:question id="rc3831c5c9a3940619aee0f803d349176"/>
        </ext>
      </extLst>
    </tableColumn>
    <tableColumn id="35" xr3:uid="{BF5F432C-D9CC-4E3D-BF71-9FC4AEC56A96}" name="Cuál fue tu progreso en el taller? (Última etapa finalizada)" dataDxfId="14">
      <extLst>
        <ext xmlns:xlmsforms="http://schemas.microsoft.com/office/spreadsheetml/2023/msForms" uri="{FCC71383-01E1-4257-9335-427F07BE8D7F}">
          <xlmsforms:question id="rf88f193528c84a3c8ded2bfbf4e2e82d"/>
        </ext>
      </extLst>
    </tableColumn>
    <tableColumn id="25" xr3:uid="{00000000-0010-0000-0000-000019000000}" name="Con respecto a tu experiencia en el laboratorio responde : .Considero que las tareas de configuración y aprovisionamiento del entorno aportan valor al aprendizaje, incluso cuando no están directamente" dataDxfId="13">
      <extLst>
        <ext xmlns:xlmsforms="http://schemas.microsoft.com/office/spreadsheetml/2023/msForms" uri="{FCC71383-01E1-4257-9335-427F07BE8D7F}">
          <xlmsforms:question id="r68fb2ebb74bd4e01b5c4875cc9d15f10"/>
        </ext>
      </extLst>
    </tableColumn>
    <tableColumn id="26" xr3:uid="{00000000-0010-0000-0000-00001A000000}" name="Con respecto a tu experiencia en el laboratorio responde : .Preferiría trabajar con un entorno previamente configurado para dedicar más tiempo a los contenidos propios de la asignatura." dataDxfId="12">
      <extLst>
        <ext xmlns:xlmsforms="http://schemas.microsoft.com/office/spreadsheetml/2023/msForms" uri="{FCC71383-01E1-4257-9335-427F07BE8D7F}">
          <xlmsforms:question id="r7e8c55486f88428a838574d10a23cf6e"/>
        </ext>
      </extLst>
    </tableColumn>
    <tableColumn id="27" xr3:uid="{00000000-0010-0000-0000-00001B000000}" name="Con respecto a tu experiencia en el laboratorio responde : .Considero que aprender a aprovisionar y configurar infraestructura es importante para mi desarrollo profesional." dataDxfId="11">
      <extLst>
        <ext xmlns:xlmsforms="http://schemas.microsoft.com/office/spreadsheetml/2023/msForms" uri="{FCC71383-01E1-4257-9335-427F07BE8D7F}">
          <xlmsforms:question id="ra6dce912fcab43df9be5157f18d77cbc"/>
        </ext>
      </extLst>
    </tableColumn>
    <tableColumn id="28" xr3:uid="{00000000-0010-0000-0000-00001C000000}" name="Con respecto a tu experiencia en el laboratorio responde : .Me siento capaz de aprovisionar y configurar un entorno similar sin ayuda adicional" dataDxfId="10">
      <extLst>
        <ext xmlns:xlmsforms="http://schemas.microsoft.com/office/spreadsheetml/2023/msForms" uri="{FCC71383-01E1-4257-9335-427F07BE8D7F}">
          <xlmsforms:question id="raddbf987c8ac4f1684d412101203b7ec"/>
        </ext>
      </extLst>
    </tableColumn>
    <tableColumn id="29" xr3:uid="{00000000-0010-0000-0000-00001D000000}" name="Con respecto a tu experiencia en el laboratorio responde : .Sentí que la configuración consumió tiempo que hubiera preferido invertir en las otras etapas del taller" dataDxfId="9">
      <extLst>
        <ext xmlns:xlmsforms="http://schemas.microsoft.com/office/spreadsheetml/2023/msForms" uri="{FCC71383-01E1-4257-9335-427F07BE8D7F}">
          <xlmsforms:question id="r06ab2b3847104e99aac2542b07759fd5"/>
        </ext>
      </extLst>
    </tableColumn>
    <tableColumn id="30" xr3:uid="{00000000-0010-0000-0000-00001E000000}" name="Con respecto a tu experiencia en el laboratorio responde : .El entorno funcionó como esperaba sin presentar obstáculos técnicos innecesarios." dataDxfId="8">
      <extLst>
        <ext xmlns:xlmsforms="http://schemas.microsoft.com/office/spreadsheetml/2023/msForms" uri="{FCC71383-01E1-4257-9335-427F07BE8D7F}">
          <xlmsforms:question id="ree53298f112544e29a2a4ec990168b39"/>
        </ext>
      </extLst>
    </tableColumn>
    <tableColumn id="31" xr3:uid="{00000000-0010-0000-0000-00001F000000}" name="Con respecto a tu experiencia en el laboratorio responde : .El proceso de configuración interrumpió mi flujo de trabajo o concentración." dataDxfId="7">
      <extLst>
        <ext xmlns:xlmsforms="http://schemas.microsoft.com/office/spreadsheetml/2023/msForms" uri="{FCC71383-01E1-4257-9335-427F07BE8D7F}">
          <xlmsforms:question id="r17ea845621514edd856d8d70264b60b0"/>
        </ext>
      </extLst>
    </tableColumn>
    <tableColumn id="32" xr3:uid="{00000000-0010-0000-0000-000020000000}" name="Con respecto a tu experiencia en el laboratorio responde : .Considero que las instrucciones o herramientas provistas para aprovisionar el entorno fueron claras y útiles para mi aprendizaje." dataDxfId="6">
      <extLst>
        <ext xmlns:xlmsforms="http://schemas.microsoft.com/office/spreadsheetml/2023/msForms" uri="{FCC71383-01E1-4257-9335-427F07BE8D7F}">
          <xlmsforms:question id="r8ccc1cbc7f164f86a742c55a522f2a8a"/>
        </ext>
      </extLst>
    </tableColumn>
    <tableColumn id="36" xr3:uid="{EE573844-783A-4D3D-8C39-451FEC6EC592}" name="Comparte tus comentarios generales sobre la experiencia (Qué te gustó más, Qué fue más llamativo, Qué se debería mejorar, etc. )" dataDxfId="5">
      <extLst>
        <ext xmlns:xlmsforms="http://schemas.microsoft.com/office/spreadsheetml/2023/msForms" uri="{FCC71383-01E1-4257-9335-427F07BE8D7F}">
          <xlmsforms:question id="ra9bb038a4cc244aaa2cf0054c763cebc"/>
        </ext>
      </extLst>
    </tableColumn>
    <tableColumn id="33" xr3:uid="{00000000-0010-0000-0000-000021000000}" name="Comparte tus sugerencias de mejora sobre la experiencia del taller." dataDxfId="4">
      <extLst>
        <ext xmlns:xlmsforms="http://schemas.microsoft.com/office/spreadsheetml/2023/msForms" uri="{FCC71383-01E1-4257-9335-427F07BE8D7F}">
          <xlmsforms:question id="r609095db2c424724a0223d2eada033a1"/>
        </ext>
      </extLst>
    </tableColumn>
    <tableColumn id="34" xr3:uid="{00000000-0010-0000-0000-000022000000}" name="Califica tu experiencia con el laboratorio" dataDxfId="3">
      <extLst>
        <ext xmlns:xlmsforms="http://schemas.microsoft.com/office/spreadsheetml/2023/msForms" uri="{FCC71383-01E1-4257-9335-427F07BE8D7F}">
          <xlmsforms:question id="r8fc87f9e2fae446ba2eb1c5b0b2c2ebd"/>
        </ext>
      </extLst>
    </tableColumn>
    <tableColumn id="1" xr3:uid="{CEAF97F0-A0AF-4361-BC9B-84DCEB001FE6}" name="Tiempo Total gastado (calculado)" dataDxfId="2">
      <calculatedColumnFormula>(K2 + O2 + S2)</calculatedColumnFormula>
    </tableColumn>
    <tableColumn id="2" xr3:uid="{65B595F2-2B24-4442-99F4-2AE020E92F5B}" name="Comparte aqui el repositorio de Github que utilizaste durante la sesión." dataDxfId="1"/>
    <tableColumn id="3" xr3:uid="{2A413E2E-5637-479A-ACB3-BEA14AD6D4F7}" name="Nota Final" dataDxfId="0"/>
  </tableColumns>
  <tableStyleInfo name="TableStyleMedium2" showFirstColumn="0" showLastColumn="0" showRowStripes="1" showColumnStripes="0"/>
  <extLst>
    <ext xmlns:xlmsforms="http://schemas.microsoft.com/office/spreadsheetml/2023/msForms" uri="{839C7E11-91E4-4DBD-9C5D-0DEA604FA9AC}">
      <xlmsforms:msForm id="hAVkUEAqFkKoS5s-4PP2z2LNJCbYvuRLhFAcwGBOhDBURTY5RFNKTlU5QjQxM003RzFCMzhTUjVFNC4u" maxResponseId="13" latestEventMarker="35">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r4165eb0d0d9c48c2b0fb88bc249f9ad2</xlmsforms:syncedQuestionId>
        <xlmsforms:syncedQuestionId>ra6ea9fd92a1040f182d8d2be90fe0483</xlmsforms:syncedQuestionId>
        <xlmsforms:syncedQuestionId>r69522fbba0d7493cad096e3e59722466</xlmsforms:syncedQuestionId>
        <xlmsforms:syncedQuestionId>r8dc2244241674d1cad9fb57d4ff63019</xlmsforms:syncedQuestionId>
        <xlmsforms:syncedQuestionId>re3b32cd147854361919408148274595b</xlmsforms:syncedQuestionId>
        <xlmsforms:syncedQuestionId>rcd9ad8d740cc411bb225d736a51f895c</xlmsforms:syncedQuestionId>
        <xlmsforms:syncedQuestionId>rf69b6fad80e7455791be2c4dd869509a</xlmsforms:syncedQuestionId>
        <xlmsforms:syncedQuestionId>r68c186a95f61439395171a3f3b8cc23a</xlmsforms:syncedQuestionId>
        <xlmsforms:syncedQuestionId>r20a76e2a8c954ae2b25c1ecdfd81362f</xlmsforms:syncedQuestionId>
        <xlmsforms:syncedQuestionId>r55299974774d4d2e8b951e59f0581a49</xlmsforms:syncedQuestionId>
        <xlmsforms:syncedQuestionId>r92708bd446194bcfbdba3f004a5e3d36</xlmsforms:syncedQuestionId>
        <xlmsforms:syncedQuestionId>rf4b900a40162410f9d765ad2b77164a8</xlmsforms:syncedQuestionId>
        <xlmsforms:syncedQuestionId>rb272c5f7ed454959bde3464171e89551</xlmsforms:syncedQuestionId>
        <xlmsforms:syncedQuestionId>r9bf552e7addc48b2973d6c55c54dcf65</xlmsforms:syncedQuestionId>
        <xlmsforms:syncedQuestionId>r30d17ca8fccf4f91b8cca318b2cea312</xlmsforms:syncedQuestionId>
        <xlmsforms:syncedQuestionId>rc9fbcfc81d90470ba87d6c27b8a7bb93</xlmsforms:syncedQuestionId>
        <xlmsforms:syncedQuestionId>r8c91fb66114f4edc82d5da423f3bad98</xlmsforms:syncedQuestionId>
        <xlmsforms:syncedQuestionId>r10b0edf129334f51b430dd7344e1f5cf</xlmsforms:syncedQuestionId>
        <xlmsforms:syncedQuestionId>rc3831c5c9a3940619aee0f803d349176</xlmsforms:syncedQuestionId>
        <xlmsforms:syncedQuestionId>r68fb2ebb74bd4e01b5c4875cc9d15f10</xlmsforms:syncedQuestionId>
        <xlmsforms:syncedQuestionId>r7e8c55486f88428a838574d10a23cf6e</xlmsforms:syncedQuestionId>
        <xlmsforms:syncedQuestionId>ra6dce912fcab43df9be5157f18d77cbc</xlmsforms:syncedQuestionId>
        <xlmsforms:syncedQuestionId>raddbf987c8ac4f1684d412101203b7ec</xlmsforms:syncedQuestionId>
        <xlmsforms:syncedQuestionId>r06ab2b3847104e99aac2542b07759fd5</xlmsforms:syncedQuestionId>
        <xlmsforms:syncedQuestionId>ree53298f112544e29a2a4ec990168b39</xlmsforms:syncedQuestionId>
        <xlmsforms:syncedQuestionId>r17ea845621514edd856d8d70264b60b0</xlmsforms:syncedQuestionId>
        <xlmsforms:syncedQuestionId>r8ccc1cbc7f164f86a742c55a522f2a8a</xlmsforms:syncedQuestionId>
        <xlmsforms:syncedQuestionId>r609095db2c424724a0223d2eada033a1</xlmsforms:syncedQuestionId>
        <xlmsforms:syncedQuestionId>r8fc87f9e2fae446ba2eb1c5b0b2c2ebd</xlmsforms:syncedQuestionId>
        <xlmsforms:syncedQuestionId>rf88f193528c84a3c8ded2bfbf4e2e82d</xlmsforms:syncedQuestionId>
        <xlmsforms:syncedQuestionId>ra9bb038a4cc244aaa2cf0054c763cebc</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1"/>
  <sheetViews>
    <sheetView tabSelected="1" topLeftCell="AB11" workbookViewId="0">
      <selection activeCell="AG2" sqref="AG2:AG11"/>
    </sheetView>
  </sheetViews>
  <sheetFormatPr defaultRowHeight="15"/>
  <cols>
    <col min="1" max="19" width="20" bestFit="1" customWidth="1"/>
    <col min="20" max="20" width="19" customWidth="1"/>
    <col min="21" max="28" width="20" bestFit="1" customWidth="1"/>
    <col min="29" max="29" width="19" customWidth="1"/>
    <col min="30" max="30" width="18" customWidth="1"/>
    <col min="31" max="31" width="19.85546875" customWidth="1"/>
    <col min="32" max="32" width="30.28515625" customWidth="1"/>
    <col min="33" max="33" width="41.28515625" customWidth="1"/>
    <col min="34" max="34" width="13.28515625" customWidth="1"/>
  </cols>
  <sheetData>
    <row r="1" spans="1:34" ht="137.25">
      <c r="A1" t="s">
        <v>0</v>
      </c>
      <c r="B1" t="s">
        <v>1</v>
      </c>
      <c r="C1" t="s">
        <v>2</v>
      </c>
      <c r="D1" t="s">
        <v>3</v>
      </c>
      <c r="E1" t="s">
        <v>4</v>
      </c>
      <c r="F1" t="s">
        <v>5</v>
      </c>
      <c r="G1" t="s">
        <v>6</v>
      </c>
      <c r="H1" t="s">
        <v>7</v>
      </c>
      <c r="I1" t="s">
        <v>8</v>
      </c>
      <c r="J1" t="s">
        <v>9</v>
      </c>
      <c r="K1" s="1" t="s">
        <v>10</v>
      </c>
      <c r="L1" t="s">
        <v>11</v>
      </c>
      <c r="M1" t="s">
        <v>12</v>
      </c>
      <c r="N1" t="s">
        <v>13</v>
      </c>
      <c r="O1" s="1" t="s">
        <v>14</v>
      </c>
      <c r="P1" t="s">
        <v>15</v>
      </c>
      <c r="Q1" t="s">
        <v>16</v>
      </c>
      <c r="R1" t="s">
        <v>17</v>
      </c>
      <c r="S1" s="1" t="s">
        <v>18</v>
      </c>
      <c r="T1" s="1" t="s">
        <v>19</v>
      </c>
      <c r="U1" t="s">
        <v>20</v>
      </c>
      <c r="V1" t="s">
        <v>21</v>
      </c>
      <c r="W1" t="s">
        <v>22</v>
      </c>
      <c r="X1" t="s">
        <v>23</v>
      </c>
      <c r="Y1" t="s">
        <v>24</v>
      </c>
      <c r="Z1" t="s">
        <v>25</v>
      </c>
      <c r="AA1" t="s">
        <v>26</v>
      </c>
      <c r="AB1" t="s">
        <v>27</v>
      </c>
      <c r="AC1" t="s">
        <v>28</v>
      </c>
      <c r="AD1" t="s">
        <v>29</v>
      </c>
      <c r="AE1" t="s">
        <v>30</v>
      </c>
      <c r="AF1" t="s">
        <v>31</v>
      </c>
      <c r="AG1" s="4" t="s">
        <v>32</v>
      </c>
      <c r="AH1" t="s">
        <v>33</v>
      </c>
    </row>
    <row r="2" spans="1:34" ht="409.6">
      <c r="A2">
        <v>7</v>
      </c>
      <c r="B2" s="2" t="s">
        <v>34</v>
      </c>
      <c r="C2" s="2" t="s">
        <v>34</v>
      </c>
      <c r="D2" s="2" t="s">
        <v>35</v>
      </c>
      <c r="E2" s="2" t="s">
        <v>34</v>
      </c>
      <c r="F2" s="2" t="s">
        <v>34</v>
      </c>
      <c r="G2" s="3" t="s">
        <v>36</v>
      </c>
      <c r="H2" s="2" t="s">
        <v>37</v>
      </c>
      <c r="I2" s="2" t="s">
        <v>37</v>
      </c>
      <c r="J2" s="2" t="s">
        <v>38</v>
      </c>
      <c r="K2">
        <v>19</v>
      </c>
      <c r="L2" s="2" t="s">
        <v>38</v>
      </c>
      <c r="M2" s="2" t="s">
        <v>39</v>
      </c>
      <c r="N2" s="2" t="s">
        <v>38</v>
      </c>
      <c r="O2">
        <v>140</v>
      </c>
      <c r="P2" s="2" t="s">
        <v>39</v>
      </c>
      <c r="Q2" s="2" t="s">
        <v>37</v>
      </c>
      <c r="R2" s="2" t="s">
        <v>37</v>
      </c>
      <c r="S2">
        <v>1</v>
      </c>
      <c r="T2" t="s">
        <v>40</v>
      </c>
      <c r="U2" s="2" t="s">
        <v>34</v>
      </c>
      <c r="V2" s="2" t="s">
        <v>41</v>
      </c>
      <c r="W2" s="2" t="s">
        <v>34</v>
      </c>
      <c r="X2" s="2" t="s">
        <v>35</v>
      </c>
      <c r="Y2" s="2" t="s">
        <v>41</v>
      </c>
      <c r="Z2" s="2" t="s">
        <v>35</v>
      </c>
      <c r="AA2" s="2" t="s">
        <v>41</v>
      </c>
      <c r="AB2" s="2" t="s">
        <v>34</v>
      </c>
      <c r="AC2" t="s">
        <v>42</v>
      </c>
      <c r="AD2" s="2"/>
      <c r="AE2">
        <v>4</v>
      </c>
      <c r="AF2" s="2">
        <f>(K2 + O2 + S2)</f>
        <v>160</v>
      </c>
      <c r="AG2" s="5" t="s">
        <v>43</v>
      </c>
      <c r="AH2" s="2">
        <v>3.0714285714285716</v>
      </c>
    </row>
    <row r="3" spans="1:34">
      <c r="A3">
        <v>7</v>
      </c>
      <c r="B3" s="2" t="s">
        <v>34</v>
      </c>
      <c r="C3" s="2" t="s">
        <v>34</v>
      </c>
      <c r="D3" s="2" t="s">
        <v>41</v>
      </c>
      <c r="E3" s="2" t="s">
        <v>34</v>
      </c>
      <c r="F3" s="2" t="s">
        <v>34</v>
      </c>
      <c r="G3" s="2" t="s">
        <v>44</v>
      </c>
      <c r="H3" s="2" t="s">
        <v>37</v>
      </c>
      <c r="I3" s="2" t="s">
        <v>37</v>
      </c>
      <c r="J3" s="2" t="s">
        <v>38</v>
      </c>
      <c r="K3">
        <v>15</v>
      </c>
      <c r="L3" s="2" t="s">
        <v>38</v>
      </c>
      <c r="M3" s="2" t="s">
        <v>37</v>
      </c>
      <c r="N3" s="2" t="s">
        <v>45</v>
      </c>
      <c r="O3">
        <v>123</v>
      </c>
      <c r="P3" s="2" t="s">
        <v>38</v>
      </c>
      <c r="Q3" s="2" t="s">
        <v>39</v>
      </c>
      <c r="R3" s="2" t="s">
        <v>38</v>
      </c>
      <c r="S3">
        <v>10</v>
      </c>
      <c r="T3" t="s">
        <v>46</v>
      </c>
      <c r="U3" s="2" t="s">
        <v>47</v>
      </c>
      <c r="V3" s="2" t="s">
        <v>47</v>
      </c>
      <c r="W3" s="2" t="s">
        <v>47</v>
      </c>
      <c r="X3" s="2" t="s">
        <v>48</v>
      </c>
      <c r="Y3" s="2" t="s">
        <v>48</v>
      </c>
      <c r="Z3" s="2" t="s">
        <v>34</v>
      </c>
      <c r="AA3" s="2" t="s">
        <v>35</v>
      </c>
      <c r="AB3" s="2" t="s">
        <v>47</v>
      </c>
      <c r="AC3" t="s">
        <v>49</v>
      </c>
      <c r="AD3" s="2"/>
      <c r="AE3">
        <v>5</v>
      </c>
      <c r="AF3" s="2">
        <f>(K3 + O3 + S3)</f>
        <v>148</v>
      </c>
      <c r="AG3" s="5" t="s">
        <v>43</v>
      </c>
      <c r="AH3" s="2">
        <v>4.7142857142857144</v>
      </c>
    </row>
    <row r="4" spans="1:34" ht="409.6">
      <c r="A4">
        <v>7</v>
      </c>
      <c r="B4" s="2" t="s">
        <v>47</v>
      </c>
      <c r="C4" s="2" t="s">
        <v>34</v>
      </c>
      <c r="D4" s="2" t="s">
        <v>35</v>
      </c>
      <c r="E4" s="2" t="s">
        <v>34</v>
      </c>
      <c r="F4" s="2" t="s">
        <v>47</v>
      </c>
      <c r="G4" s="3" t="s">
        <v>50</v>
      </c>
      <c r="H4" s="2" t="s">
        <v>39</v>
      </c>
      <c r="I4" s="2" t="s">
        <v>37</v>
      </c>
      <c r="J4" s="2" t="s">
        <v>45</v>
      </c>
      <c r="K4">
        <v>25</v>
      </c>
      <c r="L4" s="2" t="s">
        <v>39</v>
      </c>
      <c r="M4" s="2" t="s">
        <v>37</v>
      </c>
      <c r="N4" s="2" t="s">
        <v>45</v>
      </c>
      <c r="O4">
        <v>125</v>
      </c>
      <c r="P4" s="2" t="s">
        <v>38</v>
      </c>
      <c r="Q4" s="2" t="s">
        <v>45</v>
      </c>
      <c r="R4" s="2" t="s">
        <v>39</v>
      </c>
      <c r="S4">
        <v>1</v>
      </c>
      <c r="T4" t="s">
        <v>40</v>
      </c>
      <c r="U4" s="2" t="s">
        <v>47</v>
      </c>
      <c r="V4" s="2" t="s">
        <v>47</v>
      </c>
      <c r="W4" s="2" t="s">
        <v>47</v>
      </c>
      <c r="X4" s="2" t="s">
        <v>34</v>
      </c>
      <c r="Y4" s="2" t="s">
        <v>35</v>
      </c>
      <c r="Z4" s="2" t="s">
        <v>47</v>
      </c>
      <c r="AA4" s="2" t="s">
        <v>35</v>
      </c>
      <c r="AB4" s="2" t="s">
        <v>47</v>
      </c>
      <c r="AC4" t="s">
        <v>51</v>
      </c>
      <c r="AD4" s="2"/>
      <c r="AE4">
        <v>4</v>
      </c>
      <c r="AF4" s="2">
        <f>(K4 + O4 + S4)</f>
        <v>151</v>
      </c>
      <c r="AG4" s="5" t="s">
        <v>43</v>
      </c>
      <c r="AH4" s="2">
        <v>2.7142857142857144</v>
      </c>
    </row>
    <row r="5" spans="1:34">
      <c r="A5">
        <v>7</v>
      </c>
      <c r="B5" s="2" t="s">
        <v>47</v>
      </c>
      <c r="C5" s="2" t="s">
        <v>47</v>
      </c>
      <c r="D5" s="2" t="s">
        <v>47</v>
      </c>
      <c r="E5" s="2" t="s">
        <v>47</v>
      </c>
      <c r="F5" s="2" t="s">
        <v>47</v>
      </c>
      <c r="G5" s="2" t="s">
        <v>52</v>
      </c>
      <c r="H5" s="2" t="s">
        <v>37</v>
      </c>
      <c r="I5" s="2" t="s">
        <v>39</v>
      </c>
      <c r="J5" s="2" t="s">
        <v>38</v>
      </c>
      <c r="K5">
        <v>18</v>
      </c>
      <c r="L5" s="2" t="s">
        <v>39</v>
      </c>
      <c r="M5" s="2" t="s">
        <v>37</v>
      </c>
      <c r="N5" s="2" t="s">
        <v>45</v>
      </c>
      <c r="O5">
        <v>128</v>
      </c>
      <c r="P5" s="2" t="s">
        <v>53</v>
      </c>
      <c r="Q5" s="2" t="s">
        <v>53</v>
      </c>
      <c r="R5" s="2" t="s">
        <v>53</v>
      </c>
      <c r="S5">
        <v>1</v>
      </c>
      <c r="T5" t="s">
        <v>40</v>
      </c>
      <c r="U5" s="2" t="s">
        <v>47</v>
      </c>
      <c r="V5" s="2" t="s">
        <v>35</v>
      </c>
      <c r="W5" s="2" t="s">
        <v>47</v>
      </c>
      <c r="X5" s="2" t="s">
        <v>34</v>
      </c>
      <c r="Y5" s="2" t="s">
        <v>35</v>
      </c>
      <c r="Z5" s="2" t="s">
        <v>41</v>
      </c>
      <c r="AA5" s="2" t="s">
        <v>35</v>
      </c>
      <c r="AB5" s="2" t="s">
        <v>47</v>
      </c>
      <c r="AC5" t="s">
        <v>54</v>
      </c>
      <c r="AD5" s="2"/>
      <c r="AE5">
        <v>4</v>
      </c>
      <c r="AF5" s="2">
        <f>(K5 + O5 + S5)</f>
        <v>147</v>
      </c>
      <c r="AG5" s="5" t="s">
        <v>43</v>
      </c>
      <c r="AH5" s="2">
        <v>3.5</v>
      </c>
    </row>
    <row r="6" spans="1:34" ht="396.75">
      <c r="A6">
        <v>7</v>
      </c>
      <c r="B6" s="2" t="s">
        <v>34</v>
      </c>
      <c r="C6" s="2" t="s">
        <v>34</v>
      </c>
      <c r="D6" s="2" t="s">
        <v>34</v>
      </c>
      <c r="E6" s="2" t="s">
        <v>34</v>
      </c>
      <c r="F6" s="2" t="s">
        <v>34</v>
      </c>
      <c r="G6" s="3" t="s">
        <v>55</v>
      </c>
      <c r="H6" s="2" t="s">
        <v>53</v>
      </c>
      <c r="I6" s="2" t="s">
        <v>53</v>
      </c>
      <c r="J6" s="2" t="s">
        <v>38</v>
      </c>
      <c r="K6">
        <v>23</v>
      </c>
      <c r="L6" s="2" t="s">
        <v>39</v>
      </c>
      <c r="M6" s="2" t="s">
        <v>39</v>
      </c>
      <c r="N6" s="2" t="s">
        <v>38</v>
      </c>
      <c r="O6">
        <v>120</v>
      </c>
      <c r="P6" s="2" t="s">
        <v>53</v>
      </c>
      <c r="Q6" s="2" t="s">
        <v>53</v>
      </c>
      <c r="R6" s="2" t="s">
        <v>53</v>
      </c>
      <c r="S6">
        <v>1</v>
      </c>
      <c r="T6" t="s">
        <v>40</v>
      </c>
      <c r="U6" s="2" t="s">
        <v>47</v>
      </c>
      <c r="V6" s="2" t="s">
        <v>47</v>
      </c>
      <c r="W6" s="2" t="s">
        <v>47</v>
      </c>
      <c r="X6" s="2" t="s">
        <v>35</v>
      </c>
      <c r="Y6" s="2" t="s">
        <v>41</v>
      </c>
      <c r="Z6" s="2" t="s">
        <v>34</v>
      </c>
      <c r="AA6" s="2" t="s">
        <v>41</v>
      </c>
      <c r="AB6" s="2" t="s">
        <v>34</v>
      </c>
      <c r="AC6" t="s">
        <v>56</v>
      </c>
      <c r="AD6" s="2"/>
      <c r="AE6">
        <v>5</v>
      </c>
      <c r="AF6" s="2">
        <f>(K6 + O6 + S6)</f>
        <v>144</v>
      </c>
      <c r="AG6" s="5" t="s">
        <v>43</v>
      </c>
      <c r="AH6" s="2">
        <v>3.9285714285714284</v>
      </c>
    </row>
    <row r="7" spans="1:34" ht="409.6">
      <c r="A7">
        <v>7</v>
      </c>
      <c r="B7" s="2" t="s">
        <v>34</v>
      </c>
      <c r="C7" s="2" t="s">
        <v>34</v>
      </c>
      <c r="D7" s="2" t="s">
        <v>35</v>
      </c>
      <c r="E7" s="2" t="s">
        <v>35</v>
      </c>
      <c r="F7" s="2" t="s">
        <v>34</v>
      </c>
      <c r="G7" s="3" t="s">
        <v>57</v>
      </c>
      <c r="H7" s="2" t="s">
        <v>37</v>
      </c>
      <c r="I7" s="2" t="s">
        <v>37</v>
      </c>
      <c r="J7" s="2" t="s">
        <v>38</v>
      </c>
      <c r="K7">
        <v>19</v>
      </c>
      <c r="L7" s="2" t="s">
        <v>39</v>
      </c>
      <c r="M7" s="2" t="s">
        <v>39</v>
      </c>
      <c r="N7" s="2" t="s">
        <v>45</v>
      </c>
      <c r="O7">
        <v>120</v>
      </c>
      <c r="P7" s="2" t="s">
        <v>37</v>
      </c>
      <c r="Q7" s="2" t="s">
        <v>37</v>
      </c>
      <c r="R7" s="2" t="s">
        <v>38</v>
      </c>
      <c r="S7">
        <v>1</v>
      </c>
      <c r="T7" t="s">
        <v>40</v>
      </c>
      <c r="U7" s="2" t="s">
        <v>34</v>
      </c>
      <c r="V7" s="2" t="s">
        <v>35</v>
      </c>
      <c r="W7" s="2" t="s">
        <v>41</v>
      </c>
      <c r="X7" s="2" t="s">
        <v>34</v>
      </c>
      <c r="Y7" s="2" t="s">
        <v>35</v>
      </c>
      <c r="Z7" s="2" t="s">
        <v>47</v>
      </c>
      <c r="AA7" s="2" t="s">
        <v>35</v>
      </c>
      <c r="AB7" s="2" t="s">
        <v>47</v>
      </c>
      <c r="AC7" s="1" t="s">
        <v>58</v>
      </c>
      <c r="AD7" s="2"/>
      <c r="AE7">
        <v>5</v>
      </c>
      <c r="AF7" s="2">
        <f>(K7 + O7 + S7)</f>
        <v>140</v>
      </c>
      <c r="AG7" s="5" t="s">
        <v>43</v>
      </c>
      <c r="AH7" s="2">
        <v>2.8571428571428572</v>
      </c>
    </row>
    <row r="8" spans="1:34" ht="366">
      <c r="A8">
        <v>7</v>
      </c>
      <c r="B8" s="2" t="s">
        <v>47</v>
      </c>
      <c r="C8" s="2" t="s">
        <v>47</v>
      </c>
      <c r="D8" s="2" t="s">
        <v>35</v>
      </c>
      <c r="E8" s="2" t="s">
        <v>34</v>
      </c>
      <c r="F8" s="2" t="s">
        <v>47</v>
      </c>
      <c r="G8" s="3" t="s">
        <v>59</v>
      </c>
      <c r="H8" s="2" t="s">
        <v>53</v>
      </c>
      <c r="I8" s="2" t="s">
        <v>53</v>
      </c>
      <c r="J8" s="2" t="s">
        <v>45</v>
      </c>
      <c r="K8">
        <v>24</v>
      </c>
      <c r="L8" s="2" t="s">
        <v>53</v>
      </c>
      <c r="M8" s="2" t="s">
        <v>37</v>
      </c>
      <c r="N8" s="2" t="s">
        <v>45</v>
      </c>
      <c r="O8">
        <v>120</v>
      </c>
      <c r="P8" s="2" t="s">
        <v>53</v>
      </c>
      <c r="Q8" s="2" t="s">
        <v>53</v>
      </c>
      <c r="R8" s="2" t="s">
        <v>53</v>
      </c>
      <c r="S8">
        <v>1</v>
      </c>
      <c r="T8" t="s">
        <v>40</v>
      </c>
      <c r="U8" s="2" t="s">
        <v>47</v>
      </c>
      <c r="V8" s="2" t="s">
        <v>41</v>
      </c>
      <c r="W8" s="2" t="s">
        <v>34</v>
      </c>
      <c r="X8" s="2" t="s">
        <v>35</v>
      </c>
      <c r="Y8" s="2" t="s">
        <v>48</v>
      </c>
      <c r="Z8" s="2" t="s">
        <v>47</v>
      </c>
      <c r="AA8" s="2" t="s">
        <v>48</v>
      </c>
      <c r="AB8" s="2" t="s">
        <v>47</v>
      </c>
      <c r="AC8" s="1" t="s">
        <v>60</v>
      </c>
      <c r="AD8" s="2"/>
      <c r="AE8">
        <v>5</v>
      </c>
      <c r="AF8" s="2">
        <f>(K8 + O8 + S8)</f>
        <v>145</v>
      </c>
      <c r="AG8" s="5" t="s">
        <v>43</v>
      </c>
      <c r="AH8" s="2">
        <v>3.3571428571428572</v>
      </c>
    </row>
    <row r="9" spans="1:34" ht="183">
      <c r="A9">
        <v>7</v>
      </c>
      <c r="B9" s="2" t="s">
        <v>47</v>
      </c>
      <c r="C9" s="2" t="s">
        <v>47</v>
      </c>
      <c r="D9" s="2" t="s">
        <v>47</v>
      </c>
      <c r="E9" s="2" t="s">
        <v>34</v>
      </c>
      <c r="F9" s="2" t="s">
        <v>47</v>
      </c>
      <c r="G9" s="3" t="s">
        <v>61</v>
      </c>
      <c r="H9" s="2" t="s">
        <v>37</v>
      </c>
      <c r="I9" s="2" t="s">
        <v>37</v>
      </c>
      <c r="J9" s="2" t="s">
        <v>38</v>
      </c>
      <c r="K9">
        <v>13</v>
      </c>
      <c r="L9" s="2" t="s">
        <v>37</v>
      </c>
      <c r="M9" s="2" t="s">
        <v>37</v>
      </c>
      <c r="N9" s="2" t="s">
        <v>38</v>
      </c>
      <c r="O9">
        <v>128</v>
      </c>
      <c r="P9" s="2" t="s">
        <v>37</v>
      </c>
      <c r="Q9" s="2" t="s">
        <v>37</v>
      </c>
      <c r="R9" s="2" t="s">
        <v>38</v>
      </c>
      <c r="S9">
        <v>24</v>
      </c>
      <c r="T9" t="s">
        <v>46</v>
      </c>
      <c r="U9" s="2" t="s">
        <v>34</v>
      </c>
      <c r="V9" s="2" t="s">
        <v>47</v>
      </c>
      <c r="W9" s="2" t="s">
        <v>47</v>
      </c>
      <c r="X9" s="2" t="s">
        <v>34</v>
      </c>
      <c r="Y9" s="2" t="s">
        <v>35</v>
      </c>
      <c r="Z9" s="2" t="s">
        <v>47</v>
      </c>
      <c r="AA9" s="2" t="s">
        <v>35</v>
      </c>
      <c r="AB9" s="2" t="s">
        <v>34</v>
      </c>
      <c r="AC9" s="1" t="s">
        <v>62</v>
      </c>
      <c r="AD9" s="2"/>
      <c r="AE9">
        <v>5</v>
      </c>
      <c r="AF9" s="2">
        <f>(K9 + O9 + S9)</f>
        <v>165</v>
      </c>
      <c r="AG9" s="5" t="s">
        <v>43</v>
      </c>
      <c r="AH9" s="2">
        <v>4.7142857142857144</v>
      </c>
    </row>
    <row r="10" spans="1:34" ht="259.5">
      <c r="A10">
        <v>7</v>
      </c>
      <c r="B10" s="2" t="s">
        <v>47</v>
      </c>
      <c r="C10" s="2" t="s">
        <v>47</v>
      </c>
      <c r="D10" s="2" t="s">
        <v>34</v>
      </c>
      <c r="E10" s="2" t="s">
        <v>34</v>
      </c>
      <c r="F10" s="2" t="s">
        <v>47</v>
      </c>
      <c r="G10" s="3" t="s">
        <v>63</v>
      </c>
      <c r="H10" s="2" t="s">
        <v>53</v>
      </c>
      <c r="I10" s="2" t="s">
        <v>53</v>
      </c>
      <c r="J10" s="2" t="s">
        <v>45</v>
      </c>
      <c r="K10">
        <v>15</v>
      </c>
      <c r="L10" s="2" t="s">
        <v>37</v>
      </c>
      <c r="M10" s="2" t="s">
        <v>37</v>
      </c>
      <c r="N10" s="2" t="s">
        <v>37</v>
      </c>
      <c r="O10">
        <v>130</v>
      </c>
      <c r="P10" s="2" t="s">
        <v>38</v>
      </c>
      <c r="Q10" s="2" t="s">
        <v>37</v>
      </c>
      <c r="R10" s="2" t="s">
        <v>39</v>
      </c>
      <c r="S10">
        <v>15</v>
      </c>
      <c r="T10" t="s">
        <v>46</v>
      </c>
      <c r="U10" s="2" t="s">
        <v>47</v>
      </c>
      <c r="V10" s="2" t="s">
        <v>47</v>
      </c>
      <c r="W10" s="2" t="s">
        <v>47</v>
      </c>
      <c r="X10" s="2" t="s">
        <v>34</v>
      </c>
      <c r="Y10" s="2" t="s">
        <v>35</v>
      </c>
      <c r="Z10" s="2" t="s">
        <v>35</v>
      </c>
      <c r="AA10" s="2" t="s">
        <v>41</v>
      </c>
      <c r="AB10" s="2" t="s">
        <v>47</v>
      </c>
      <c r="AC10" s="1" t="s">
        <v>64</v>
      </c>
      <c r="AD10" s="2"/>
      <c r="AE10">
        <v>5</v>
      </c>
      <c r="AF10" s="2">
        <f>(K10 + O10 + S10)</f>
        <v>160</v>
      </c>
      <c r="AG10" s="5" t="s">
        <v>43</v>
      </c>
      <c r="AH10" s="2">
        <v>4.5</v>
      </c>
    </row>
    <row r="11" spans="1:34" ht="381.75">
      <c r="A11">
        <v>7</v>
      </c>
      <c r="B11" s="2" t="s">
        <v>47</v>
      </c>
      <c r="C11" s="2" t="s">
        <v>47</v>
      </c>
      <c r="D11" s="2" t="s">
        <v>47</v>
      </c>
      <c r="E11" s="2" t="s">
        <v>47</v>
      </c>
      <c r="F11" s="2" t="s">
        <v>47</v>
      </c>
      <c r="G11" s="3" t="s">
        <v>65</v>
      </c>
      <c r="H11" s="2" t="s">
        <v>53</v>
      </c>
      <c r="I11" s="2" t="s">
        <v>53</v>
      </c>
      <c r="J11" s="2" t="s">
        <v>45</v>
      </c>
      <c r="K11">
        <v>15</v>
      </c>
      <c r="L11" s="2" t="s">
        <v>39</v>
      </c>
      <c r="M11" s="2" t="s">
        <v>53</v>
      </c>
      <c r="N11" s="2" t="s">
        <v>45</v>
      </c>
      <c r="O11">
        <v>138</v>
      </c>
      <c r="P11" s="2" t="s">
        <v>38</v>
      </c>
      <c r="Q11" s="2" t="s">
        <v>37</v>
      </c>
      <c r="R11" s="2" t="s">
        <v>45</v>
      </c>
      <c r="S11">
        <v>5</v>
      </c>
      <c r="T11" t="s">
        <v>66</v>
      </c>
      <c r="U11" s="2" t="s">
        <v>47</v>
      </c>
      <c r="V11" s="2" t="s">
        <v>35</v>
      </c>
      <c r="W11" s="2" t="s">
        <v>47</v>
      </c>
      <c r="X11" s="2" t="s">
        <v>35</v>
      </c>
      <c r="Y11" s="2" t="s">
        <v>48</v>
      </c>
      <c r="Z11" s="2" t="s">
        <v>47</v>
      </c>
      <c r="AA11" s="2" t="s">
        <v>48</v>
      </c>
      <c r="AB11" s="2" t="s">
        <v>47</v>
      </c>
      <c r="AC11" s="1" t="s">
        <v>67</v>
      </c>
      <c r="AD11" s="2"/>
      <c r="AE11">
        <v>5</v>
      </c>
      <c r="AF11" s="2">
        <f>(K11 + O11 + S11)</f>
        <v>158</v>
      </c>
      <c r="AG11" s="5" t="s">
        <v>43</v>
      </c>
      <c r="AH11" s="2">
        <v>3.7142857142857144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42D8E-30FB-4D45-A934-04211C6AE53D}">
  <dimension ref="A1:I11"/>
  <sheetViews>
    <sheetView workbookViewId="0">
      <selection activeCell="H2" sqref="H2:H11"/>
    </sheetView>
  </sheetViews>
  <sheetFormatPr defaultRowHeight="15"/>
  <cols>
    <col min="8" max="8" width="13.42578125" customWidth="1"/>
  </cols>
  <sheetData>
    <row r="1" spans="1:9">
      <c r="A1" t="s">
        <v>68</v>
      </c>
      <c r="B1" t="s">
        <v>69</v>
      </c>
      <c r="C1" t="s">
        <v>70</v>
      </c>
      <c r="D1" t="s">
        <v>71</v>
      </c>
      <c r="E1" t="s">
        <v>72</v>
      </c>
      <c r="F1" t="s">
        <v>73</v>
      </c>
      <c r="G1" t="s">
        <v>74</v>
      </c>
      <c r="H1" t="s">
        <v>75</v>
      </c>
      <c r="I1" t="s">
        <v>76</v>
      </c>
    </row>
    <row r="2" spans="1:9">
      <c r="A2">
        <v>9</v>
      </c>
      <c r="B2">
        <v>10</v>
      </c>
      <c r="C2">
        <v>10</v>
      </c>
      <c r="D2">
        <v>6</v>
      </c>
      <c r="E2">
        <v>8</v>
      </c>
      <c r="F2">
        <v>0</v>
      </c>
      <c r="G2">
        <v>0</v>
      </c>
      <c r="H2" cm="1">
        <f t="array" ref="H2">SUM('Consenso Notas'!A2:G2 * 5 ) / 70</f>
        <v>3.0714285714285716</v>
      </c>
      <c r="I2" t="s">
        <v>77</v>
      </c>
    </row>
    <row r="3" spans="1:9">
      <c r="A3">
        <v>10</v>
      </c>
      <c r="B3">
        <v>10</v>
      </c>
      <c r="C3">
        <v>9</v>
      </c>
      <c r="D3">
        <v>10</v>
      </c>
      <c r="E3">
        <v>10</v>
      </c>
      <c r="F3">
        <v>10</v>
      </c>
      <c r="G3">
        <v>7</v>
      </c>
      <c r="H3" cm="1">
        <f t="array" ref="H3">SUM('Consenso Notas'!A3:G3 * 5 ) / 70</f>
        <v>4.7142857142857144</v>
      </c>
      <c r="I3" t="s">
        <v>78</v>
      </c>
    </row>
    <row r="4" spans="1:9">
      <c r="A4">
        <v>10</v>
      </c>
      <c r="B4">
        <v>10</v>
      </c>
      <c r="C4">
        <v>7</v>
      </c>
      <c r="D4">
        <v>6</v>
      </c>
      <c r="E4">
        <v>5</v>
      </c>
      <c r="F4">
        <v>0</v>
      </c>
      <c r="G4">
        <v>0</v>
      </c>
      <c r="H4" cm="1">
        <f t="array" ref="H4">SUM('Consenso Notas'!A4:G4 * 5 ) / 70</f>
        <v>2.7142857142857144</v>
      </c>
      <c r="I4" t="s">
        <v>79</v>
      </c>
    </row>
    <row r="5" spans="1:9">
      <c r="A5">
        <v>8</v>
      </c>
      <c r="B5">
        <v>10</v>
      </c>
      <c r="C5">
        <v>10</v>
      </c>
      <c r="D5">
        <v>10</v>
      </c>
      <c r="E5">
        <v>9</v>
      </c>
      <c r="F5">
        <v>2</v>
      </c>
      <c r="G5">
        <v>0</v>
      </c>
      <c r="H5" cm="1">
        <f t="array" ref="H5">SUM('Consenso Notas'!A5:G5 * 5 ) / 70</f>
        <v>3.5</v>
      </c>
      <c r="I5" t="s">
        <v>80</v>
      </c>
    </row>
    <row r="6" spans="1:9">
      <c r="A6">
        <v>10</v>
      </c>
      <c r="B6">
        <v>10</v>
      </c>
      <c r="C6">
        <v>10</v>
      </c>
      <c r="D6">
        <v>10</v>
      </c>
      <c r="E6">
        <v>9</v>
      </c>
      <c r="F6">
        <v>6</v>
      </c>
      <c r="G6">
        <v>0</v>
      </c>
      <c r="H6" cm="1">
        <f t="array" ref="H6">SUM('Consenso Notas'!A6:G6 * 5 ) / 70</f>
        <v>3.9285714285714284</v>
      </c>
      <c r="I6" t="s">
        <v>81</v>
      </c>
    </row>
    <row r="7" spans="1:9">
      <c r="A7">
        <v>10</v>
      </c>
      <c r="B7">
        <v>10</v>
      </c>
      <c r="C7">
        <v>7</v>
      </c>
      <c r="D7">
        <v>6</v>
      </c>
      <c r="E7">
        <v>4</v>
      </c>
      <c r="F7">
        <v>3</v>
      </c>
      <c r="G7">
        <v>0</v>
      </c>
      <c r="H7" cm="1">
        <f t="array" ref="H7">SUM('Consenso Notas'!A7:G7 * 5 ) / 70</f>
        <v>2.8571428571428572</v>
      </c>
      <c r="I7" t="s">
        <v>82</v>
      </c>
    </row>
    <row r="8" spans="1:9">
      <c r="A8">
        <v>10</v>
      </c>
      <c r="B8">
        <v>10</v>
      </c>
      <c r="C8">
        <v>10</v>
      </c>
      <c r="D8">
        <v>10</v>
      </c>
      <c r="E8">
        <v>7</v>
      </c>
      <c r="F8">
        <v>0</v>
      </c>
      <c r="G8">
        <v>0</v>
      </c>
      <c r="H8" cm="1">
        <f t="array" ref="H8">SUM('Consenso Notas'!A8:G8 * 5 ) / 70</f>
        <v>3.3571428571428572</v>
      </c>
      <c r="I8" t="s">
        <v>83</v>
      </c>
    </row>
    <row r="9" spans="1:9">
      <c r="A9">
        <v>10</v>
      </c>
      <c r="B9">
        <v>10</v>
      </c>
      <c r="C9">
        <v>8</v>
      </c>
      <c r="D9">
        <v>10</v>
      </c>
      <c r="E9">
        <v>9</v>
      </c>
      <c r="F9">
        <v>10</v>
      </c>
      <c r="G9">
        <v>9</v>
      </c>
      <c r="H9" cm="1">
        <f t="array" ref="H9">SUM('Consenso Notas'!A9:G9 * 5 ) / 70</f>
        <v>4.7142857142857144</v>
      </c>
    </row>
    <row r="10" spans="1:9">
      <c r="A10">
        <v>8</v>
      </c>
      <c r="B10">
        <v>10</v>
      </c>
      <c r="C10">
        <v>8</v>
      </c>
      <c r="D10">
        <v>10</v>
      </c>
      <c r="E10">
        <v>9</v>
      </c>
      <c r="F10">
        <v>10</v>
      </c>
      <c r="G10">
        <v>8</v>
      </c>
      <c r="H10" cm="1">
        <f t="array" ref="H10">SUM('Consenso Notas'!A10:G10 * 5 ) / 70</f>
        <v>4.5</v>
      </c>
    </row>
    <row r="11" spans="1:9">
      <c r="A11">
        <v>7</v>
      </c>
      <c r="B11">
        <v>10</v>
      </c>
      <c r="C11">
        <v>10</v>
      </c>
      <c r="D11">
        <v>10</v>
      </c>
      <c r="E11">
        <v>7</v>
      </c>
      <c r="F11">
        <v>8</v>
      </c>
      <c r="G11">
        <v>0</v>
      </c>
      <c r="H11" cm="1">
        <f t="array" ref="H11">SUM('Consenso Notas'!A11:G11 * 5 ) / 70</f>
        <v>3.7142857142857144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2026-03-02T03:17:55Z</dcterms:created>
  <dcterms:modified xsi:type="dcterms:W3CDTF">2026-06-17T00:16:31Z</dcterms:modified>
  <cp:category/>
  <cp:contentStatus/>
</cp:coreProperties>
</file>