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7074242F-89AB-4D63-8AA9-50D95E5ECF05}" xr6:coauthVersionLast="47" xr6:coauthVersionMax="47" xr10:uidLastSave="{00000000-0000-0000-0000-000000000000}"/>
  <bookViews>
    <workbookView xWindow="0" yWindow="0" windowWidth="28800" windowHeight="13905" xr2:uid="{00000000-000D-0000-FFFF-FFFF00000000}"/>
  </bookViews>
  <sheets>
    <sheet name="Respuestas Encuesta Final" sheetId="1" r:id="rId1"/>
    <sheet name="Consenso Nota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5" i="2"/>
  <c r="H6" i="2"/>
  <c r="H7" i="2"/>
  <c r="H8" i="2"/>
  <c r="H9" i="2"/>
  <c r="H10" i="2"/>
  <c r="H11" i="2"/>
  <c r="H2" i="2"/>
  <c r="AF7" i="1"/>
  <c r="AF2" i="1"/>
  <c r="AF3" i="1"/>
  <c r="AF4" i="1"/>
  <c r="AF5" i="1"/>
  <c r="AF6" i="1"/>
  <c r="AF8" i="1"/>
  <c r="AF9" i="1"/>
  <c r="AF10" i="1"/>
  <c r="AF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tc={A6DF4B27-2BD4-40DF-A785-70E3D50D324B}</author>
    <author>tc={0712C8ED-1FB0-4684-9221-20D9B610D92E}</author>
  </authors>
  <commentList>
    <comment ref="A3" authorId="0" shapeId="0" xr:uid="{A6DF4B27-2BD4-40DF-A785-70E3D50D324B}">
      <text>
        <t>[Threaded comment]
Your version of Excel allows you to read this threaded comment; however, any edits to it will get removed if the file is opened in a newer version of Excel. Learn more: https://go.microsoft.com/fwlink/?linkid=870924
Comment:
    descripcion demasiado vaga, yo le pondria un 6</t>
      </text>
    </comment>
    <comment ref="E3" authorId="1" shapeId="0" xr:uid="{0712C8ED-1FB0-4684-9221-20D9B610D92E}">
      <text>
        <t>[Threaded comment]
Your version of Excel allows you to read this threaded comment; however, any edits to it will get removed if the file is opened in a newer version of Excel. Learn more: https://go.microsoft.com/fwlink/?linkid=870924
Comment:
    aqui no vi nninguna impl</t>
      </text>
    </comment>
  </commentList>
</comments>
</file>

<file path=xl/sharedStrings.xml><?xml version="1.0" encoding="utf-8"?>
<sst xmlns="http://schemas.openxmlformats.org/spreadsheetml/2006/main" count="312" uniqueCount="84">
  <si>
    <t>¿En qué semestre académico se encuentra actualmente? </t>
  </si>
  <si>
    <t>Con respecto al conocimiento adquirido durante el taller evalua las siguientes afirmaciones.Entiendo claramente qué es un log y para qué se utiliza.</t>
  </si>
  <si>
    <t>Con respecto al conocimiento adquirido durante el taller evalua las siguientes afirmaciones.Entiendo claramente qué es una métrica y para qué se utiliza.</t>
  </si>
  <si>
    <t>Con respecto al conocimiento adquirido durante el taller evalua las siguientes afirmaciones.Entiendo claramente qué es una traza y para qué se utiliza.</t>
  </si>
  <si>
    <t>Con respecto al conocimiento adquirido durante el taller evalua las siguientes afirmaciones.Comprendo bien la diferencia entre logs, métricas y trazas.</t>
  </si>
  <si>
    <t>Con respecto al conocimiento adquirido durante el taller evalua las siguientes afirmaciones.Siento que puedo usar logs y métricas para analizar el comportamiento de un sistema.</t>
  </si>
  <si>
    <t>En tus palabras describe brevemente qué es un log, una métrica y una traza, y para qué usarías cada uno.</t>
  </si>
  <si>
    <t>Con respecto a tu experiencia con la Etapa 1: Preparación del ambiente de laboratorio..Nivel de dificultad percibida</t>
  </si>
  <si>
    <t>Con respecto a tu experiencia con la Etapa 1: Preparación del ambiente de laboratorio..Nivel de frustración percibido</t>
  </si>
  <si>
    <t>Con respecto a tu experiencia con la Etapa 1: Preparación del ambiente de laboratorio..Nivel de conocimiento adquirido</t>
  </si>
  <si>
    <t xml:space="preserve">¿Cuánto tiempo (en minutos) te tomó terminar esta etapa? (Puedes encontrar el tiempo en el informe final de la documentación del laboratorio)
</t>
  </si>
  <si>
    <t>Con respecto a tu experiencia con la Etapa 2: Creación y visualización de métricas y logs.Nivel de dificultad percibida</t>
  </si>
  <si>
    <t>Con respecto a tu experiencia con la Etapa 2: Creación y visualización de métricas y logs.Nivel de frustración percibido</t>
  </si>
  <si>
    <t>Con respecto a tu experiencia con la Etapa 2: Creación y visualización de métricas y logs.Nivel de conocimiento adquirido</t>
  </si>
  <si>
    <t>¿Cuánto tiempo (en minutos) te tomó terminar esta etapa? (Puedes encontrar el tiempo en el informe final de la documentación del laboratorio)
1</t>
  </si>
  <si>
    <t>Con respecto a tu experiencia con la Etapa 3 :  Experimentación y análisis.Nivel de dificultad percibida</t>
  </si>
  <si>
    <t>Con respecto a tu experiencia con la Etapa 3 :  Experimentación y análisis.Nivel de frustración percibido</t>
  </si>
  <si>
    <t>Con respecto a tu experiencia con la Etapa 3 :  Experimentación y análisis.Nivel de conocimiento adquirido</t>
  </si>
  <si>
    <t>¿Cuánto tiempo (en minutos) te tomó terminar esta etapa? (Puedes encontrar el tiempo en el informe final de la documentación del laboratorio)
2</t>
  </si>
  <si>
    <t>Cuál fue tu progreso en el taller? (Última etapa finalizada)</t>
  </si>
  <si>
    <t>Con respecto a tu experiencia en el laboratorio responde : .Considero que las tareas de configuración y aprovisionamiento del entorno aportan valor al aprendizaje, incluso cuando no están directamente</t>
  </si>
  <si>
    <t>Con respecto a tu experiencia en el laboratorio responde : .Preferiría trabajar con un entorno previamente configurado para dedicar más tiempo a los contenidos propios de la asignatura.</t>
  </si>
  <si>
    <t>Con respecto a tu experiencia en el laboratorio responde : .Considero que aprender a aprovisionar y configurar infraestructura es importante para mi desarrollo profesional.</t>
  </si>
  <si>
    <t>Con respecto a tu experiencia en el laboratorio responde : .Me siento capaz de aprovisionar y configurar un entorno similar sin ayuda adicional</t>
  </si>
  <si>
    <t>Con respecto a tu experiencia en el laboratorio responde : .Sentí que la configuración consumió tiempo que hubiera preferido invertir en las otras etapas del taller</t>
  </si>
  <si>
    <t>Con respecto a tu experiencia en el laboratorio responde : .El entorno funcionó como esperaba sin presentar obstáculos técnicos innecesarios.</t>
  </si>
  <si>
    <t>Con respecto a tu experiencia en el laboratorio responde : .El proceso de configuración interrumpió mi flujo de trabajo o concentración.</t>
  </si>
  <si>
    <t>Con respecto a tu experiencia en el laboratorio responde : .Considero que las instrucciones o herramientas provistas para aprovisionar el entorno fueron claras y útiles para mi aprendizaje.</t>
  </si>
  <si>
    <t>Comparte tus comentarios generales sobre la experiencia (Qué te gustó más, Qué fue más llamativo, Qué se debería mejorar, etc. )</t>
  </si>
  <si>
    <t>Califica tu experiencia con el laboratorio</t>
  </si>
  <si>
    <t>Comparte aqui el repositorio de Github que utilizaste durante la sesión.</t>
  </si>
  <si>
    <t>Tiempo Total gastado (calculado)</t>
  </si>
  <si>
    <t>Nota Final</t>
  </si>
  <si>
    <t>De acuerdo</t>
  </si>
  <si>
    <t>Muy de acuerdo</t>
  </si>
  <si>
    <t>Log:
Un log es un registro de eventos o mensajes que genera una aplicación mientras se está ejecutando. Sirve para ver qué está pasando dentro del sistema, detectar errores y entender problemas cuando algo falla.
Métrica:
Una métrica es un valor numérico que mide el estado o rendimiento de un sistema a lo largo del tiempo, como el uso de CPU, memoria o número de solicitudes. Se usa principalmente para monitorear el comportamiento del sistema y detectar cambios o problemas de rendimiento.
Traza:
Una traza muestra el recorrido que sigue una solicitud dentro de un sistema, especialmente cuando pasa por varios servicios. Sirve para analizar cómo se procesa una petición y encontrar en qué parte del sistema puede haber retrasos o fallos.</t>
  </si>
  <si>
    <t>Bajo</t>
  </si>
  <si>
    <t>Muy bajo</t>
  </si>
  <si>
    <t>Alto</t>
  </si>
  <si>
    <t>Muy alto</t>
  </si>
  <si>
    <t>Etapa 2.1</t>
  </si>
  <si>
    <t>Neutral</t>
  </si>
  <si>
    <t>En desacuerdo</t>
  </si>
  <si>
    <t>Me gustó usar aws porque no lo habia usado</t>
  </si>
  <si>
    <t>ANONIMIZADO</t>
  </si>
  <si>
    <t xml:space="preserve">Los logs registran eventos puntuales, las metrcicas el rendimiento del sistema y la traza el recorrido completo </t>
  </si>
  <si>
    <t>Medio</t>
  </si>
  <si>
    <t>Muy en desacuerdo</t>
  </si>
  <si>
    <t>Desde mi perspectiva estuvo bien reforzar dichos aprendizajes de configuracion en AWS y todo el tema de la visualizacion de metricas.</t>
  </si>
  <si>
    <t>Un log es un registro que me permite evidenciar el comportamiento de un código.
Una métrica es algo que me permite medir el comportamiento de un sistema mediante gráfifcas. Esto permite ver si algo funciona bien o no.
Una traza no me quedó tan clara.</t>
  </si>
  <si>
    <t>Me gustó mucho el laboratorio, las indicaciones fueron demasiado claras y los profesores fueron muy amables siempre y estaban dispuestos a resolver cualquier inquietud. Lo único es que siento que estaba bastante largo, y teniendo en cuenta que era nuestro primer acercamiento a estas herramientas, no era posible completar todo en 3 horas.</t>
  </si>
  <si>
    <t>Un log es un registro de eventos que genera una aplicación en un momento específico, normalmente en forma de texto, y se usa principalmente para investigar errores o entender qué ocurrió dentro del sistema. Una métrica es un dato numérico medido a lo largo del tiempo  y sirve para monitorear el estado y rendimiento del sistema y crear alertas. Una traza muestra el recorrido completo de una solicitud a través de distintos servicios de una aplicación, lo que ayuda a identificar dónde ocurren retrasos o fallos, especialmente en sistemas distribuidos o de microservicios.</t>
  </si>
  <si>
    <t>Aprender en algo que no tenia conocimiento, explorar nuevas herramientas y demás.
No me gusto tener que desplegar manualmente, siento que es algo que se puede automatizar y pude haber terminado el taller si no fuera por eso, tener que repetir el proceso es muy frustrante y estresante, llega el punto que se prefiere dejar de hacerlo y ya, que repetir un proceso que s puede automatizar</t>
  </si>
  <si>
    <t>Un log es un registro detallado de eventos que permite entender qué ocurrió dentro de una aplicación en un momento específico. Una métrica es una medida numérica que se usa para monitorear el rendimiento y la salud del sistema de forma continua. Por último, una traza sigue el recorrido completo de una solicitud a través de diferentes componentes, ayudando a diagnosticar problemas de rendimiento y errores en sistemas distribuidos.</t>
  </si>
  <si>
    <t>Aprender un nuevo uso de aws, y como usar grapahan junto con los tipos de metricas
No me gusto tener que desplegar de form manuealmente, siento que es algo que se podria aumotaziar de mejor forma y pude haber terminado el taller de no ser por ese consumo de tiempo adicional, sin mencionar que tener que repetir cierta parte del laboratorio en el 2.2</t>
  </si>
  <si>
    <t>Un log en un dato tomado directamente desde el servidor o sistema, que nos da información de errores, warnings o demas. Una métrica es un valor que se puede usar para tomaar decisiones a nivel de negocio, son esos datos claros, concisos y fundamentales. Y una traza es el recorrido completo de una petición.</t>
  </si>
  <si>
    <t>Me gusto mucho el uso de nuevas tecnologías, me fue llamativo el detalle del paso a paso, lo que mas me costó fue la parte de llenar la bitácora debido a que, yo quería enfocarme en la practica.</t>
  </si>
  <si>
    <t>Es el conjunto de registros del sistema basados en actividad, las métricas es la composición de registros hechas estadísticas, una traza muestra el recorrido completo de una petición a través de varios servicios</t>
  </si>
  <si>
    <t>Me pareció llamativo la configuración y creación del entorno, muy buena explicación, aún siendo opcional, es una información centrada y clara. la parte de conexión al puerto :3000 fue muy chistosa (porque no conectó)</t>
  </si>
  <si>
    <t>el log es el registro de sucesos de manera textual de lo que está ocurriendo o que ocurrió de un momento en específico dentro de una app; una métrica es un valor numérico que se mide a lo largo del tiempo de ejecución de un sistema y representa el estado del mismo; la traza es el recorrido completo de una request a través de todos los componentes del sistema, midiendo cuánto tiempo tomó cada paso</t>
  </si>
  <si>
    <t>Estuvo muy interesante todo el taller, de verdad que se aprende bastante no solo de temas de observabilidad. Lo único es que el tiempo terminó siendo algo limitado o de pronto recortar un poco el taller para poder alcanzar, aunque si considero que fue por temas de confusiones mías que no logré hacer más.</t>
  </si>
  <si>
    <t>Un log es un resgistro en texto de un evento, una metrica es un valor numerico que mide cierto performance de algo, como la cpu ,una traza es el seguimiento del recorrido completo de una request a través de todos los servicios que toca</t>
  </si>
  <si>
    <t>Me gusto que la gui si estaba super bien detallada y funcionaba entonces no me frustraba</t>
  </si>
  <si>
    <t xml:space="preserve">Un log es un registro de acciones y actividad.
Una metrica es una medicion en base a datos registrados.
Una traza es un historial paso a paso de lo que esta pasando.
Son complementarios realmente, en el log registras lo que pasa, con la metrica mido lo que pasa y con un traza visualizo lo que pasa de forma sencilla.
</t>
  </si>
  <si>
    <t>Me gusto el tema que se trata, me encanta la idea de tener claridad acerca de lo que esta ocurriendo en el sistema, el proceso de configuración es sencillo pero se vuelve repetitivo y desgastante.</t>
  </si>
  <si>
    <t>H1</t>
  </si>
  <si>
    <t>H2</t>
  </si>
  <si>
    <t>H3</t>
  </si>
  <si>
    <t>H4</t>
  </si>
  <si>
    <t>H5</t>
  </si>
  <si>
    <t>H6</t>
  </si>
  <si>
    <t>H7</t>
  </si>
  <si>
    <t>Nota</t>
  </si>
  <si>
    <t>Comentario</t>
  </si>
  <si>
    <t>analizo las metricas exitosamente, buena descripción de las 2 metricas seleccionadas, no hay evidencia de secciones posteriores, no se ve el dashboard base.</t>
  </si>
  <si>
    <t>la descripción de los conceptos teoricos podria ser mas detallada, pero se ve que tiene nocion de a que se refiere cada concepto,  la descripción de las metricas escogidas es literal. Una de las metricas escogidas no tenida datos, la visualización de la segunda metrica no cumple con el proposito planteado.</t>
  </si>
  <si>
    <t xml:space="preserve">No describe el concepto de traza, no se evidencia que tenga claro el concepto de metricas . Las visualizaciones propuestas podrian mejorar usando unidades especificas </t>
  </si>
  <si>
    <t>La descripción de las metricas escogidas podria ser mas detallada, no se evidencia entendimiento de las metricas escogidas, el analisis podria se mejor sobre el proposito de la visualizacion. Se plantea e implementa la metrica personalizada pero no se llega a desplegar ni a generar visualizacion. no hay un analisis final del dashboard</t>
  </si>
  <si>
    <t>Se implementan 2 metricas, pero no se despliegan ni se realiza la visualización. muy buena calidad de entregables</t>
  </si>
  <si>
    <t xml:space="preserve">podria detallar mejor el concepto de traza, algunos detalles importantes se omiten de la definicion de log y metrica. No se describe correctamente la metrica escogida, las anotaciones y metadata son informacion generica. </t>
  </si>
  <si>
    <t>no se evidencia que el estudiante comprenda los conceptos de logs ni de metricas. Podria mejorar la descripción de las metricas escogidas, no es claro porque se consideran importantes ni como se podrian usar , la seleccion del tipo de metrica es incorrecto para uno de los casos. El dashboard base no incluye el panel de latencia, se intuye que añade 2 visualizaciones adicionales en la foto pero no hay diligenciamiento de la bitacora con respecto a los detalles</t>
  </si>
  <si>
    <t>La segunda metrica presenta informacion incorrecta / la metrica custom se plantea en codigo pero no se despliega ni se crea una visualizacion. la metrica implementada no esta registrando aun</t>
  </si>
  <si>
    <t>Hay un pequeño vacio de conocimiento en los conceptos teoricos. La query propuesta no cumple con el proposito pero el planteamiento es correcto y bien elaborado</t>
  </si>
  <si>
    <t>Hay un pequeño vacio de conocimiento en los conceptos teoricos. No hay foto de evidencia de la aplicacion funcionando, por las fotos de prometheus se intuye que se logro ejecutar. La bitacora no fue diligenciada con las metricas de interes, solo se muestran fotos de las metricas seleccionadas. El estudiante generó el dashboard base en clase pero no diligenció la bitácora con la evidencia correspondiente, no presente el analisis de las visualizaciones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</si>
</sst>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wrapText="1"/>
    </xf>
    <xf numFmtId="0" fontId="1" fillId="2" borderId="1" xfId="0" applyFont="1" applyFill="1" applyBorder="1"/>
    <xf numFmtId="0" fontId="1" fillId="2" borderId="2" xfId="0" applyFont="1" applyFill="1" applyBorder="1"/>
    <xf numFmtId="0" fontId="0" fillId="0" borderId="0" xfId="0" applyFill="1"/>
  </cellXfs>
  <cellStyles count="1">
    <cellStyle name="Normal" xfId="0" builtinId="0"/>
  </cellStyles>
  <dxfs count="33">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NDRES FELIPE MARCELO RUBIANO" id="{3571C561-EFEA-4943-A521-EF91596C617F}" userId="S::andres.marcelo@escuelaing.edu.co::db2f2df1-9c58-4972-a460-27f47c78a0e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G11" totalsRowShown="0">
  <autoFilter ref="A1:AG11" xr:uid="{00000000-0009-0000-0100-000001000000}"/>
  <tableColumns count="33">
    <tableColumn id="6" xr3:uid="{00000000-0010-0000-0000-000006000000}" name="¿En qué semestre académico se encuentra actualmente? " dataDxfId="32">
      <extLst>
        <ext xmlns:xlmsforms="http://schemas.microsoft.com/office/spreadsheetml/2023/msForms" uri="{FCC71383-01E1-4257-9335-427F07BE8D7F}">
          <xlmsforms:question id="r4165eb0d0d9c48c2b0fb88bc249f9ad2"/>
        </ext>
      </extLst>
    </tableColumn>
    <tableColumn id="7" xr3:uid="{00000000-0010-0000-0000-000007000000}" name="Con respecto al conocimiento adquirido durante el taller evalua las siguientes afirmaciones.Entiendo claramente qué es un log y para qué se utiliza." dataDxfId="31">
      <extLst>
        <ext xmlns:xlmsforms="http://schemas.microsoft.com/office/spreadsheetml/2023/msForms" uri="{FCC71383-01E1-4257-9335-427F07BE8D7F}">
          <xlmsforms:question id="ra6ea9fd92a1040f182d8d2be90fe0483"/>
        </ext>
      </extLst>
    </tableColumn>
    <tableColumn id="8" xr3:uid="{00000000-0010-0000-0000-000008000000}" name="Con respecto al conocimiento adquirido durante el taller evalua las siguientes afirmaciones.Entiendo claramente qué es una métrica y para qué se utiliza." dataDxfId="30">
      <extLst>
        <ext xmlns:xlmsforms="http://schemas.microsoft.com/office/spreadsheetml/2023/msForms" uri="{FCC71383-01E1-4257-9335-427F07BE8D7F}">
          <xlmsforms:question id="r69522fbba0d7493cad096e3e59722466"/>
        </ext>
      </extLst>
    </tableColumn>
    <tableColumn id="9" xr3:uid="{00000000-0010-0000-0000-000009000000}" name="Con respecto al conocimiento adquirido durante el taller evalua las siguientes afirmaciones.Entiendo claramente qué es una traza y para qué se utiliza." dataDxfId="29">
      <extLst>
        <ext xmlns:xlmsforms="http://schemas.microsoft.com/office/spreadsheetml/2023/msForms" uri="{FCC71383-01E1-4257-9335-427F07BE8D7F}">
          <xlmsforms:question id="r8dc2244241674d1cad9fb57d4ff63019"/>
        </ext>
      </extLst>
    </tableColumn>
    <tableColumn id="10" xr3:uid="{00000000-0010-0000-0000-00000A000000}" name="Con respecto al conocimiento adquirido durante el taller evalua las siguientes afirmaciones.Comprendo bien la diferencia entre logs, métricas y trazas." dataDxfId="28">
      <extLst>
        <ext xmlns:xlmsforms="http://schemas.microsoft.com/office/spreadsheetml/2023/msForms" uri="{FCC71383-01E1-4257-9335-427F07BE8D7F}">
          <xlmsforms:question id="re3b32cd147854361919408148274595b"/>
        </ext>
      </extLst>
    </tableColumn>
    <tableColumn id="11" xr3:uid="{00000000-0010-0000-0000-00000B000000}" name="Con respecto al conocimiento adquirido durante el taller evalua las siguientes afirmaciones.Siento que puedo usar logs y métricas para analizar el comportamiento de un sistema." dataDxfId="27">
      <extLst>
        <ext xmlns:xlmsforms="http://schemas.microsoft.com/office/spreadsheetml/2023/msForms" uri="{FCC71383-01E1-4257-9335-427F07BE8D7F}">
          <xlmsforms:question id="rcd9ad8d740cc411bb225d736a51f895c"/>
        </ext>
      </extLst>
    </tableColumn>
    <tableColumn id="12" xr3:uid="{00000000-0010-0000-0000-00000C000000}" name="En tus palabras describe brevemente qué es un log, una métrica y una traza, y para qué usarías cada uno." dataDxfId="26">
      <extLst>
        <ext xmlns:xlmsforms="http://schemas.microsoft.com/office/spreadsheetml/2023/msForms" uri="{FCC71383-01E1-4257-9335-427F07BE8D7F}">
          <xlmsforms:question id="rf69b6fad80e7455791be2c4dd869509a"/>
        </ext>
      </extLst>
    </tableColumn>
    <tableColumn id="13" xr3:uid="{00000000-0010-0000-0000-00000D000000}" name="Con respecto a tu experiencia con la Etapa 1: Preparación del ambiente de laboratorio..Nivel de dificultad percibida" dataDxfId="25">
      <extLst>
        <ext xmlns:xlmsforms="http://schemas.microsoft.com/office/spreadsheetml/2023/msForms" uri="{FCC71383-01E1-4257-9335-427F07BE8D7F}">
          <xlmsforms:question id="r68c186a95f61439395171a3f3b8cc23a"/>
        </ext>
      </extLst>
    </tableColumn>
    <tableColumn id="14" xr3:uid="{00000000-0010-0000-0000-00000E000000}" name="Con respecto a tu experiencia con la Etapa 1: Preparación del ambiente de laboratorio..Nivel de frustración percibido" dataDxfId="24">
      <extLst>
        <ext xmlns:xlmsforms="http://schemas.microsoft.com/office/spreadsheetml/2023/msForms" uri="{FCC71383-01E1-4257-9335-427F07BE8D7F}">
          <xlmsforms:question id="r20a76e2a8c954ae2b25c1ecdfd81362f"/>
        </ext>
      </extLst>
    </tableColumn>
    <tableColumn id="15" xr3:uid="{00000000-0010-0000-0000-00000F000000}" name="Con respecto a tu experiencia con la Etapa 1: Preparación del ambiente de laboratorio..Nivel de conocimiento adquirido" dataDxfId="23">
      <extLst>
        <ext xmlns:xlmsforms="http://schemas.microsoft.com/office/spreadsheetml/2023/msForms" uri="{FCC71383-01E1-4257-9335-427F07BE8D7F}">
          <xlmsforms:question id="r55299974774d4d2e8b951e59f0581a49"/>
        </ext>
      </extLst>
    </tableColumn>
    <tableColumn id="16" xr3:uid="{00000000-0010-0000-0000-000010000000}" name="¿Cuánto tiempo (en minutos) te tomó terminar esta etapa? (Puedes encontrar el tiempo en el informe final de la documentación del laboratorio)_x000a_" dataDxfId="22">
      <extLst>
        <ext xmlns:xlmsforms="http://schemas.microsoft.com/office/spreadsheetml/2023/msForms" uri="{FCC71383-01E1-4257-9335-427F07BE8D7F}">
          <xlmsforms:question id="r92708bd446194bcfbdba3f004a5e3d36"/>
        </ext>
      </extLst>
    </tableColumn>
    <tableColumn id="17" xr3:uid="{00000000-0010-0000-0000-000011000000}" name="Con respecto a tu experiencia con la Etapa 2: Creación y visualización de métricas y logs.Nivel de dificultad percibida" dataDxfId="21">
      <extLst>
        <ext xmlns:xlmsforms="http://schemas.microsoft.com/office/spreadsheetml/2023/msForms" uri="{FCC71383-01E1-4257-9335-427F07BE8D7F}">
          <xlmsforms:question id="rf4b900a40162410f9d765ad2b77164a8"/>
        </ext>
      </extLst>
    </tableColumn>
    <tableColumn id="18" xr3:uid="{00000000-0010-0000-0000-000012000000}" name="Con respecto a tu experiencia con la Etapa 2: Creación y visualización de métricas y logs.Nivel de frustración percibido" dataDxfId="20">
      <extLst>
        <ext xmlns:xlmsforms="http://schemas.microsoft.com/office/spreadsheetml/2023/msForms" uri="{FCC71383-01E1-4257-9335-427F07BE8D7F}">
          <xlmsforms:question id="rb272c5f7ed454959bde3464171e89551"/>
        </ext>
      </extLst>
    </tableColumn>
    <tableColumn id="19" xr3:uid="{00000000-0010-0000-0000-000013000000}" name="Con respecto a tu experiencia con la Etapa 2: Creación y visualización de métricas y logs.Nivel de conocimiento adquirido" dataDxfId="19">
      <extLst>
        <ext xmlns:xlmsforms="http://schemas.microsoft.com/office/spreadsheetml/2023/msForms" uri="{FCC71383-01E1-4257-9335-427F07BE8D7F}">
          <xlmsforms:question id="r9bf552e7addc48b2973d6c55c54dcf65"/>
        </ext>
      </extLst>
    </tableColumn>
    <tableColumn id="20" xr3:uid="{00000000-0010-0000-0000-000014000000}" name="¿Cuánto tiempo (en minutos) te tomó terminar esta etapa? (Puedes encontrar el tiempo en el informe final de la documentación del laboratorio)_x000a_1" dataDxfId="18">
      <extLst>
        <ext xmlns:xlmsforms="http://schemas.microsoft.com/office/spreadsheetml/2023/msForms" uri="{FCC71383-01E1-4257-9335-427F07BE8D7F}">
          <xlmsforms:question id="r30d17ca8fccf4f91b8cca318b2cea312"/>
        </ext>
      </extLst>
    </tableColumn>
    <tableColumn id="21" xr3:uid="{00000000-0010-0000-0000-000015000000}" name="Con respecto a tu experiencia con la Etapa 3 :  Experimentación y análisis.Nivel de dificultad percibida" dataDxfId="17">
      <extLst>
        <ext xmlns:xlmsforms="http://schemas.microsoft.com/office/spreadsheetml/2023/msForms" uri="{FCC71383-01E1-4257-9335-427F07BE8D7F}">
          <xlmsforms:question id="rc9fbcfc81d90470ba87d6c27b8a7bb93"/>
        </ext>
      </extLst>
    </tableColumn>
    <tableColumn id="22" xr3:uid="{00000000-0010-0000-0000-000016000000}" name="Con respecto a tu experiencia con la Etapa 3 :  Experimentación y análisis.Nivel de frustración percibido" dataDxfId="16">
      <extLst>
        <ext xmlns:xlmsforms="http://schemas.microsoft.com/office/spreadsheetml/2023/msForms" uri="{FCC71383-01E1-4257-9335-427F07BE8D7F}">
          <xlmsforms:question id="r8c91fb66114f4edc82d5da423f3bad98"/>
        </ext>
      </extLst>
    </tableColumn>
    <tableColumn id="23" xr3:uid="{00000000-0010-0000-0000-000017000000}" name="Con respecto a tu experiencia con la Etapa 3 :  Experimentación y análisis.Nivel de conocimiento adquirido" dataDxfId="15">
      <extLst>
        <ext xmlns:xlmsforms="http://schemas.microsoft.com/office/spreadsheetml/2023/msForms" uri="{FCC71383-01E1-4257-9335-427F07BE8D7F}">
          <xlmsforms:question id="r10b0edf129334f51b430dd7344e1f5cf"/>
        </ext>
      </extLst>
    </tableColumn>
    <tableColumn id="24" xr3:uid="{00000000-0010-0000-0000-000018000000}" name="¿Cuánto tiempo (en minutos) te tomó terminar esta etapa? (Puedes encontrar el tiempo en el informe final de la documentación del laboratorio)_x000a_2" dataDxfId="14">
      <extLst>
        <ext xmlns:xlmsforms="http://schemas.microsoft.com/office/spreadsheetml/2023/msForms" uri="{FCC71383-01E1-4257-9335-427F07BE8D7F}">
          <xlmsforms:question id="rc3831c5c9a3940619aee0f803d349176"/>
        </ext>
      </extLst>
    </tableColumn>
    <tableColumn id="25" xr3:uid="{00000000-0010-0000-0000-000019000000}" name="Cuál fue tu progreso en el taller? (Última etapa finalizada)" dataDxfId="13">
      <extLst>
        <ext xmlns:xlmsforms="http://schemas.microsoft.com/office/spreadsheetml/2023/msForms" uri="{FCC71383-01E1-4257-9335-427F07BE8D7F}">
          <xlmsforms:question id="rd0841588fbed4029a7d6cf482620d55e"/>
        </ext>
      </extLst>
    </tableColumn>
    <tableColumn id="26" xr3:uid="{00000000-0010-0000-0000-00001A000000}" name="Con respecto a tu experiencia en el laboratorio responde : .Considero que las tareas de configuración y aprovisionamiento del entorno aportan valor al aprendizaje, incluso cuando no están directamente" dataDxfId="12">
      <extLst>
        <ext xmlns:xlmsforms="http://schemas.microsoft.com/office/spreadsheetml/2023/msForms" uri="{FCC71383-01E1-4257-9335-427F07BE8D7F}">
          <xlmsforms:question id="r68fb2ebb74bd4e01b5c4875cc9d15f10"/>
        </ext>
      </extLst>
    </tableColumn>
    <tableColumn id="27" xr3:uid="{00000000-0010-0000-0000-00001B000000}" name="Con respecto a tu experiencia en el laboratorio responde : .Preferiría trabajar con un entorno previamente configurado para dedicar más tiempo a los contenidos propios de la asignatura." dataDxfId="11">
      <extLst>
        <ext xmlns:xlmsforms="http://schemas.microsoft.com/office/spreadsheetml/2023/msForms" uri="{FCC71383-01E1-4257-9335-427F07BE8D7F}">
          <xlmsforms:question id="r7e8c55486f88428a838574d10a23cf6e"/>
        </ext>
      </extLst>
    </tableColumn>
    <tableColumn id="28" xr3:uid="{00000000-0010-0000-0000-00001C000000}" name="Con respecto a tu experiencia en el laboratorio responde : .Considero que aprender a aprovisionar y configurar infraestructura es importante para mi desarrollo profesional." dataDxfId="10">
      <extLst>
        <ext xmlns:xlmsforms="http://schemas.microsoft.com/office/spreadsheetml/2023/msForms" uri="{FCC71383-01E1-4257-9335-427F07BE8D7F}">
          <xlmsforms:question id="ra6dce912fcab43df9be5157f18d77cbc"/>
        </ext>
      </extLst>
    </tableColumn>
    <tableColumn id="29" xr3:uid="{00000000-0010-0000-0000-00001D000000}" name="Con respecto a tu experiencia en el laboratorio responde : .Me siento capaz de aprovisionar y configurar un entorno similar sin ayuda adicional" dataDxfId="9">
      <extLst>
        <ext xmlns:xlmsforms="http://schemas.microsoft.com/office/spreadsheetml/2023/msForms" uri="{FCC71383-01E1-4257-9335-427F07BE8D7F}">
          <xlmsforms:question id="raddbf987c8ac4f1684d412101203b7ec"/>
        </ext>
      </extLst>
    </tableColumn>
    <tableColumn id="30" xr3:uid="{00000000-0010-0000-0000-00001E000000}" name="Con respecto a tu experiencia en el laboratorio responde : .Sentí que la configuración consumió tiempo que hubiera preferido invertir en las otras etapas del taller" dataDxfId="8">
      <extLst>
        <ext xmlns:xlmsforms="http://schemas.microsoft.com/office/spreadsheetml/2023/msForms" uri="{FCC71383-01E1-4257-9335-427F07BE8D7F}">
          <xlmsforms:question id="r06ab2b3847104e99aac2542b07759fd5"/>
        </ext>
      </extLst>
    </tableColumn>
    <tableColumn id="31" xr3:uid="{00000000-0010-0000-0000-00001F000000}" name="Con respecto a tu experiencia en el laboratorio responde : .El entorno funcionó como esperaba sin presentar obstáculos técnicos innecesarios." dataDxfId="7">
      <extLst>
        <ext xmlns:xlmsforms="http://schemas.microsoft.com/office/spreadsheetml/2023/msForms" uri="{FCC71383-01E1-4257-9335-427F07BE8D7F}">
          <xlmsforms:question id="ree53298f112544e29a2a4ec990168b39"/>
        </ext>
      </extLst>
    </tableColumn>
    <tableColumn id="32" xr3:uid="{00000000-0010-0000-0000-000020000000}" name="Con respecto a tu experiencia en el laboratorio responde : .El proceso de configuración interrumpió mi flujo de trabajo o concentración." dataDxfId="6">
      <extLst>
        <ext xmlns:xlmsforms="http://schemas.microsoft.com/office/spreadsheetml/2023/msForms" uri="{FCC71383-01E1-4257-9335-427F07BE8D7F}">
          <xlmsforms:question id="r17ea845621514edd856d8d70264b60b0"/>
        </ext>
      </extLst>
    </tableColumn>
    <tableColumn id="33" xr3:uid="{00000000-0010-0000-0000-000021000000}" name="Con respecto a tu experiencia en el laboratorio responde : .Considero que las instrucciones o herramientas provistas para aprovisionar el entorno fueron claras y útiles para mi aprendizaje." dataDxfId="5">
      <extLst>
        <ext xmlns:xlmsforms="http://schemas.microsoft.com/office/spreadsheetml/2023/msForms" uri="{FCC71383-01E1-4257-9335-427F07BE8D7F}">
          <xlmsforms:question id="r8ccc1cbc7f164f86a742c55a522f2a8a"/>
        </ext>
      </extLst>
    </tableColumn>
    <tableColumn id="34" xr3:uid="{00000000-0010-0000-0000-000022000000}" name="Comparte tus comentarios generales sobre la experiencia (Qué te gustó más, Qué fue más llamativo, Qué se debería mejorar, etc. )" dataDxfId="4">
      <extLst>
        <ext xmlns:xlmsforms="http://schemas.microsoft.com/office/spreadsheetml/2023/msForms" uri="{FCC71383-01E1-4257-9335-427F07BE8D7F}">
          <xlmsforms:question id="r609095db2c424724a0223d2eada033a1"/>
        </ext>
      </extLst>
    </tableColumn>
    <tableColumn id="35" xr3:uid="{00000000-0010-0000-0000-000023000000}" name="Califica tu experiencia con el laboratorio" dataDxfId="3">
      <extLst>
        <ext xmlns:xlmsforms="http://schemas.microsoft.com/office/spreadsheetml/2023/msForms" uri="{FCC71383-01E1-4257-9335-427F07BE8D7F}">
          <xlmsforms:question id="r8fc87f9e2fae446ba2eb1c5b0b2c2ebd"/>
        </ext>
      </extLst>
    </tableColumn>
    <tableColumn id="36" xr3:uid="{00000000-0010-0000-0000-000024000000}" name="Comparte aqui el repositorio de Github que utilizaste durante la sesión." dataDxfId="2">
      <extLst>
        <ext xmlns:xlmsforms="http://schemas.microsoft.com/office/spreadsheetml/2023/msForms" uri="{FCC71383-01E1-4257-9335-427F07BE8D7F}">
          <xlmsforms:question id="rb96d28b66fe3471db04870ceef481f09"/>
        </ext>
      </extLst>
    </tableColumn>
    <tableColumn id="1" xr3:uid="{9A30645D-05FA-47B7-AE80-3A4EE5916180}" name="Tiempo Total gastado (calculado)" dataDxfId="1">
      <calculatedColumnFormula>(K2 + O2 + S2)</calculatedColumnFormula>
    </tableColumn>
    <tableColumn id="2" xr3:uid="{1938A737-60AC-4693-AF62-EE81CF1D3676}" name="Nota Final" dataDxfId="0"/>
  </tableColumns>
  <tableStyleInfo name="TableStyleMedium2" showFirstColumn="0" showLastColumn="0" showRowStripes="1" showColumnStripes="0"/>
  <extLst>
    <ext xmlns:xlmsforms="http://schemas.microsoft.com/office/spreadsheetml/2023/msForms" uri="{839C7E11-91E4-4DBD-9C5D-0DEA604FA9AC}">
      <xlmsforms:msForm id="hAVkUEAqFkKoS5s-4PP2z2LNJCbYvuRLhFAcwGBOhDBUMkJFUUU5UVZYUkZSUVdTTlhIT1FDSjdYSS4u" maxResponseId="11"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r4165eb0d0d9c48c2b0fb88bc249f9ad2</xlmsforms:syncedQuestionId>
        <xlmsforms:syncedQuestionId>ra6ea9fd92a1040f182d8d2be90fe0483</xlmsforms:syncedQuestionId>
        <xlmsforms:syncedQuestionId>r69522fbba0d7493cad096e3e59722466</xlmsforms:syncedQuestionId>
        <xlmsforms:syncedQuestionId>r8dc2244241674d1cad9fb57d4ff63019</xlmsforms:syncedQuestionId>
        <xlmsforms:syncedQuestionId>re3b32cd147854361919408148274595b</xlmsforms:syncedQuestionId>
        <xlmsforms:syncedQuestionId>rcd9ad8d740cc411bb225d736a51f895c</xlmsforms:syncedQuestionId>
        <xlmsforms:syncedQuestionId>rf69b6fad80e7455791be2c4dd869509a</xlmsforms:syncedQuestionId>
        <xlmsforms:syncedQuestionId>r68c186a95f61439395171a3f3b8cc23a</xlmsforms:syncedQuestionId>
        <xlmsforms:syncedQuestionId>r20a76e2a8c954ae2b25c1ecdfd81362f</xlmsforms:syncedQuestionId>
        <xlmsforms:syncedQuestionId>r55299974774d4d2e8b951e59f0581a49</xlmsforms:syncedQuestionId>
        <xlmsforms:syncedQuestionId>r92708bd446194bcfbdba3f004a5e3d36</xlmsforms:syncedQuestionId>
        <xlmsforms:syncedQuestionId>rf4b900a40162410f9d765ad2b77164a8</xlmsforms:syncedQuestionId>
        <xlmsforms:syncedQuestionId>rb272c5f7ed454959bde3464171e89551</xlmsforms:syncedQuestionId>
        <xlmsforms:syncedQuestionId>r9bf552e7addc48b2973d6c55c54dcf65</xlmsforms:syncedQuestionId>
        <xlmsforms:syncedQuestionId>r30d17ca8fccf4f91b8cca318b2cea312</xlmsforms:syncedQuestionId>
        <xlmsforms:syncedQuestionId>rc9fbcfc81d90470ba87d6c27b8a7bb93</xlmsforms:syncedQuestionId>
        <xlmsforms:syncedQuestionId>r8c91fb66114f4edc82d5da423f3bad98</xlmsforms:syncedQuestionId>
        <xlmsforms:syncedQuestionId>r10b0edf129334f51b430dd7344e1f5cf</xlmsforms:syncedQuestionId>
        <xlmsforms:syncedQuestionId>rc3831c5c9a3940619aee0f803d349176</xlmsforms:syncedQuestionId>
        <xlmsforms:syncedQuestionId>rd0841588fbed4029a7d6cf482620d55e</xlmsforms:syncedQuestionId>
        <xlmsforms:syncedQuestionId>r68fb2ebb74bd4e01b5c4875cc9d15f10</xlmsforms:syncedQuestionId>
        <xlmsforms:syncedQuestionId>r7e8c55486f88428a838574d10a23cf6e</xlmsforms:syncedQuestionId>
        <xlmsforms:syncedQuestionId>ra6dce912fcab43df9be5157f18d77cbc</xlmsforms:syncedQuestionId>
        <xlmsforms:syncedQuestionId>raddbf987c8ac4f1684d412101203b7ec</xlmsforms:syncedQuestionId>
        <xlmsforms:syncedQuestionId>r06ab2b3847104e99aac2542b07759fd5</xlmsforms:syncedQuestionId>
        <xlmsforms:syncedQuestionId>ree53298f112544e29a2a4ec990168b39</xlmsforms:syncedQuestionId>
        <xlmsforms:syncedQuestionId>r17ea845621514edd856d8d70264b60b0</xlmsforms:syncedQuestionId>
        <xlmsforms:syncedQuestionId>r8ccc1cbc7f164f86a742c55a522f2a8a</xlmsforms:syncedQuestionId>
        <xlmsforms:syncedQuestionId>r609095db2c424724a0223d2eada033a1</xlmsforms:syncedQuestionId>
        <xlmsforms:syncedQuestionId>r8fc87f9e2fae446ba2eb1c5b0b2c2ebd</xlmsforms:syncedQuestionId>
        <xlmsforms:syncedQuestionId>rb96d28b66fe3471db04870ceef481f09</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6-03-12T23:38:02.72" personId="{3571C561-EFEA-4943-A521-EF91596C617F}" id="{A6DF4B27-2BD4-40DF-A785-70E3D50D324B}" done="1">
    <text>descripcion demasiado vaga, yo le pondria un 6</text>
  </threadedComment>
  <threadedComment ref="E3" dT="2026-03-12T23:47:23.68" personId="{3571C561-EFEA-4943-A521-EF91596C617F}" id="{0712C8ED-1FB0-4684-9221-20D9B610D92E}" done="1">
    <text>aqui no vi nninguna impl</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
  <sheetViews>
    <sheetView tabSelected="1" topLeftCell="Y8" workbookViewId="0">
      <selection activeCell="AE2" sqref="AE2:AE11"/>
    </sheetView>
  </sheetViews>
  <sheetFormatPr defaultRowHeight="15"/>
  <cols>
    <col min="1" max="30" width="20" bestFit="1" customWidth="1"/>
    <col min="31" max="31" width="41.28515625" customWidth="1"/>
    <col min="32" max="32" width="24.85546875" customWidth="1"/>
    <col min="33" max="33" width="31.28515625" customWidth="1"/>
  </cols>
  <sheetData>
    <row r="1" spans="1:33" ht="137.25">
      <c r="A1" t="s">
        <v>0</v>
      </c>
      <c r="B1" t="s">
        <v>1</v>
      </c>
      <c r="C1" t="s">
        <v>2</v>
      </c>
      <c r="D1" t="s">
        <v>3</v>
      </c>
      <c r="E1" t="s">
        <v>4</v>
      </c>
      <c r="F1" t="s">
        <v>5</v>
      </c>
      <c r="G1" t="s">
        <v>6</v>
      </c>
      <c r="H1" t="s">
        <v>7</v>
      </c>
      <c r="I1" t="s">
        <v>8</v>
      </c>
      <c r="J1" t="s">
        <v>9</v>
      </c>
      <c r="K1" s="3" t="s">
        <v>10</v>
      </c>
      <c r="L1" t="s">
        <v>11</v>
      </c>
      <c r="M1" t="s">
        <v>12</v>
      </c>
      <c r="N1" t="s">
        <v>13</v>
      </c>
      <c r="O1" s="3" t="s">
        <v>14</v>
      </c>
      <c r="P1" t="s">
        <v>15</v>
      </c>
      <c r="Q1" t="s">
        <v>16</v>
      </c>
      <c r="R1" t="s">
        <v>17</v>
      </c>
      <c r="S1" s="3" t="s">
        <v>18</v>
      </c>
      <c r="T1" t="s">
        <v>19</v>
      </c>
      <c r="U1" t="s">
        <v>20</v>
      </c>
      <c r="V1" t="s">
        <v>21</v>
      </c>
      <c r="W1" t="s">
        <v>22</v>
      </c>
      <c r="X1" t="s">
        <v>23</v>
      </c>
      <c r="Y1" t="s">
        <v>24</v>
      </c>
      <c r="Z1" t="s">
        <v>25</v>
      </c>
      <c r="AA1" t="s">
        <v>26</v>
      </c>
      <c r="AB1" t="s">
        <v>27</v>
      </c>
      <c r="AC1" t="s">
        <v>28</v>
      </c>
      <c r="AD1" t="s">
        <v>29</v>
      </c>
      <c r="AE1" t="s">
        <v>30</v>
      </c>
      <c r="AF1" s="4" t="s">
        <v>31</v>
      </c>
      <c r="AG1" s="5" t="s">
        <v>32</v>
      </c>
    </row>
    <row r="2" spans="1:33">
      <c r="A2">
        <v>7</v>
      </c>
      <c r="B2" t="s">
        <v>33</v>
      </c>
      <c r="C2" t="s">
        <v>33</v>
      </c>
      <c r="D2" t="s">
        <v>33</v>
      </c>
      <c r="E2" t="s">
        <v>33</v>
      </c>
      <c r="F2" t="s">
        <v>34</v>
      </c>
      <c r="G2" t="s">
        <v>35</v>
      </c>
      <c r="H2" t="s">
        <v>36</v>
      </c>
      <c r="I2" t="s">
        <v>37</v>
      </c>
      <c r="J2" t="s">
        <v>38</v>
      </c>
      <c r="K2">
        <v>44</v>
      </c>
      <c r="L2" t="s">
        <v>36</v>
      </c>
      <c r="M2" t="s">
        <v>36</v>
      </c>
      <c r="N2" t="s">
        <v>38</v>
      </c>
      <c r="O2">
        <v>90</v>
      </c>
      <c r="P2" t="s">
        <v>36</v>
      </c>
      <c r="Q2" t="s">
        <v>36</v>
      </c>
      <c r="R2" t="s">
        <v>39</v>
      </c>
      <c r="S2">
        <v>1</v>
      </c>
      <c r="T2" t="s">
        <v>40</v>
      </c>
      <c r="U2" t="s">
        <v>33</v>
      </c>
      <c r="V2" t="s">
        <v>41</v>
      </c>
      <c r="W2" t="s">
        <v>34</v>
      </c>
      <c r="X2" t="s">
        <v>34</v>
      </c>
      <c r="Y2" t="s">
        <v>42</v>
      </c>
      <c r="Z2" t="s">
        <v>34</v>
      </c>
      <c r="AA2" t="s">
        <v>42</v>
      </c>
      <c r="AB2" t="s">
        <v>34</v>
      </c>
      <c r="AC2" t="s">
        <v>43</v>
      </c>
      <c r="AD2">
        <v>4</v>
      </c>
      <c r="AE2" s="6" t="s">
        <v>44</v>
      </c>
      <c r="AF2" s="1">
        <f>(K2 + O2 + S2)</f>
        <v>135</v>
      </c>
      <c r="AG2" s="1">
        <v>2.1428571428571428</v>
      </c>
    </row>
    <row r="3" spans="1:33">
      <c r="A3">
        <v>7</v>
      </c>
      <c r="B3" t="s">
        <v>34</v>
      </c>
      <c r="C3" t="s">
        <v>34</v>
      </c>
      <c r="D3" t="s">
        <v>34</v>
      </c>
      <c r="E3" t="s">
        <v>34</v>
      </c>
      <c r="F3" t="s">
        <v>33</v>
      </c>
      <c r="G3" t="s">
        <v>45</v>
      </c>
      <c r="H3" t="s">
        <v>37</v>
      </c>
      <c r="I3" t="s">
        <v>37</v>
      </c>
      <c r="J3" t="s">
        <v>39</v>
      </c>
      <c r="K3">
        <v>26</v>
      </c>
      <c r="L3" t="s">
        <v>46</v>
      </c>
      <c r="M3" t="s">
        <v>37</v>
      </c>
      <c r="N3" t="s">
        <v>39</v>
      </c>
      <c r="O3">
        <v>117</v>
      </c>
      <c r="P3" t="s">
        <v>37</v>
      </c>
      <c r="Q3" t="s">
        <v>37</v>
      </c>
      <c r="R3" t="s">
        <v>37</v>
      </c>
      <c r="S3">
        <v>1</v>
      </c>
      <c r="T3" t="s">
        <v>40</v>
      </c>
      <c r="U3" t="s">
        <v>34</v>
      </c>
      <c r="V3" t="s">
        <v>47</v>
      </c>
      <c r="W3" t="s">
        <v>34</v>
      </c>
      <c r="X3" t="s">
        <v>33</v>
      </c>
      <c r="Y3" t="s">
        <v>47</v>
      </c>
      <c r="Z3" t="s">
        <v>34</v>
      </c>
      <c r="AA3" t="s">
        <v>47</v>
      </c>
      <c r="AB3" t="s">
        <v>34</v>
      </c>
      <c r="AC3" t="s">
        <v>48</v>
      </c>
      <c r="AD3">
        <v>5</v>
      </c>
      <c r="AE3" s="6" t="s">
        <v>44</v>
      </c>
      <c r="AF3" s="1">
        <f>(K3 + O3 + S3)</f>
        <v>144</v>
      </c>
      <c r="AG3" s="1">
        <v>2.8571428571428572</v>
      </c>
    </row>
    <row r="4" spans="1:33" ht="229.5">
      <c r="A4">
        <v>8</v>
      </c>
      <c r="B4" t="s">
        <v>34</v>
      </c>
      <c r="C4" t="s">
        <v>34</v>
      </c>
      <c r="D4" t="s">
        <v>41</v>
      </c>
      <c r="E4" t="s">
        <v>42</v>
      </c>
      <c r="F4" t="s">
        <v>41</v>
      </c>
      <c r="G4" s="3" t="s">
        <v>49</v>
      </c>
      <c r="H4" t="s">
        <v>36</v>
      </c>
      <c r="I4" t="s">
        <v>46</v>
      </c>
      <c r="J4" t="s">
        <v>46</v>
      </c>
      <c r="K4">
        <v>44</v>
      </c>
      <c r="L4" t="s">
        <v>46</v>
      </c>
      <c r="M4" t="s">
        <v>38</v>
      </c>
      <c r="N4" t="s">
        <v>46</v>
      </c>
      <c r="O4">
        <v>112</v>
      </c>
      <c r="P4" t="s">
        <v>37</v>
      </c>
      <c r="Q4" t="s">
        <v>37</v>
      </c>
      <c r="R4" t="s">
        <v>37</v>
      </c>
      <c r="S4">
        <v>1</v>
      </c>
      <c r="T4" t="s">
        <v>40</v>
      </c>
      <c r="U4" t="s">
        <v>34</v>
      </c>
      <c r="V4" t="s">
        <v>34</v>
      </c>
      <c r="W4" t="s">
        <v>34</v>
      </c>
      <c r="X4" t="s">
        <v>42</v>
      </c>
      <c r="Y4" t="s">
        <v>41</v>
      </c>
      <c r="Z4" t="s">
        <v>34</v>
      </c>
      <c r="AA4" t="s">
        <v>41</v>
      </c>
      <c r="AB4" t="s">
        <v>34</v>
      </c>
      <c r="AC4" t="s">
        <v>50</v>
      </c>
      <c r="AD4">
        <v>5</v>
      </c>
      <c r="AE4" s="6" t="s">
        <v>44</v>
      </c>
      <c r="AF4" s="1">
        <f>(K4 + O4 + S4)</f>
        <v>157</v>
      </c>
      <c r="AG4" s="1">
        <v>3.1428571428571428</v>
      </c>
    </row>
    <row r="5" spans="1:33" ht="381.75">
      <c r="A5">
        <v>7</v>
      </c>
      <c r="B5" t="s">
        <v>34</v>
      </c>
      <c r="C5" t="s">
        <v>41</v>
      </c>
      <c r="D5" t="s">
        <v>41</v>
      </c>
      <c r="E5" t="s">
        <v>33</v>
      </c>
      <c r="F5" t="s">
        <v>34</v>
      </c>
      <c r="G5" t="s">
        <v>51</v>
      </c>
      <c r="H5" t="s">
        <v>37</v>
      </c>
      <c r="I5" t="s">
        <v>37</v>
      </c>
      <c r="J5" t="s">
        <v>38</v>
      </c>
      <c r="K5">
        <v>32</v>
      </c>
      <c r="L5" t="s">
        <v>36</v>
      </c>
      <c r="M5" t="s">
        <v>37</v>
      </c>
      <c r="N5" t="s">
        <v>39</v>
      </c>
      <c r="O5">
        <v>115</v>
      </c>
      <c r="P5" t="s">
        <v>37</v>
      </c>
      <c r="Q5" t="s">
        <v>37</v>
      </c>
      <c r="R5" t="s">
        <v>37</v>
      </c>
      <c r="S5">
        <v>1</v>
      </c>
      <c r="T5" t="s">
        <v>40</v>
      </c>
      <c r="U5" t="s">
        <v>42</v>
      </c>
      <c r="V5" t="s">
        <v>34</v>
      </c>
      <c r="W5" t="s">
        <v>33</v>
      </c>
      <c r="X5" t="s">
        <v>33</v>
      </c>
      <c r="Y5" t="s">
        <v>34</v>
      </c>
      <c r="Z5" t="s">
        <v>33</v>
      </c>
      <c r="AA5" t="s">
        <v>34</v>
      </c>
      <c r="AB5" t="s">
        <v>34</v>
      </c>
      <c r="AC5" s="3" t="s">
        <v>52</v>
      </c>
      <c r="AD5">
        <v>4</v>
      </c>
      <c r="AE5" s="6" t="s">
        <v>44</v>
      </c>
      <c r="AF5" s="1">
        <f>(K5 + O5 + S5)</f>
        <v>148</v>
      </c>
      <c r="AG5" s="1">
        <v>3.5714285714285716</v>
      </c>
    </row>
    <row r="6" spans="1:33" ht="321">
      <c r="A6">
        <v>7</v>
      </c>
      <c r="B6" t="s">
        <v>34</v>
      </c>
      <c r="C6" t="s">
        <v>41</v>
      </c>
      <c r="D6" t="s">
        <v>41</v>
      </c>
      <c r="E6" t="s">
        <v>33</v>
      </c>
      <c r="F6" t="s">
        <v>34</v>
      </c>
      <c r="G6" t="s">
        <v>53</v>
      </c>
      <c r="H6" t="s">
        <v>37</v>
      </c>
      <c r="I6" t="s">
        <v>37</v>
      </c>
      <c r="J6" t="s">
        <v>37</v>
      </c>
      <c r="K6">
        <v>35</v>
      </c>
      <c r="L6" t="s">
        <v>38</v>
      </c>
      <c r="M6" t="s">
        <v>39</v>
      </c>
      <c r="N6" t="s">
        <v>46</v>
      </c>
      <c r="O6">
        <v>112</v>
      </c>
      <c r="P6" t="s">
        <v>46</v>
      </c>
      <c r="Q6" t="s">
        <v>46</v>
      </c>
      <c r="R6" t="s">
        <v>46</v>
      </c>
      <c r="S6">
        <v>1</v>
      </c>
      <c r="T6" t="s">
        <v>40</v>
      </c>
      <c r="U6" t="s">
        <v>42</v>
      </c>
      <c r="V6" t="s">
        <v>34</v>
      </c>
      <c r="W6" t="s">
        <v>33</v>
      </c>
      <c r="X6" t="s">
        <v>41</v>
      </c>
      <c r="Y6" t="s">
        <v>33</v>
      </c>
      <c r="Z6" t="s">
        <v>41</v>
      </c>
      <c r="AA6" t="s">
        <v>33</v>
      </c>
      <c r="AB6" t="s">
        <v>33</v>
      </c>
      <c r="AC6" s="3" t="s">
        <v>54</v>
      </c>
      <c r="AD6">
        <v>4</v>
      </c>
      <c r="AE6" s="6" t="s">
        <v>44</v>
      </c>
      <c r="AF6" s="1">
        <f>(K6 + O6 + S6)</f>
        <v>148</v>
      </c>
      <c r="AG6" s="1">
        <v>3.8571428571428572</v>
      </c>
    </row>
    <row r="7" spans="1:33">
      <c r="A7">
        <v>10</v>
      </c>
      <c r="B7" t="s">
        <v>34</v>
      </c>
      <c r="C7" t="s">
        <v>34</v>
      </c>
      <c r="D7" t="s">
        <v>33</v>
      </c>
      <c r="E7" t="s">
        <v>33</v>
      </c>
      <c r="F7" t="s">
        <v>33</v>
      </c>
      <c r="G7" t="s">
        <v>55</v>
      </c>
      <c r="H7" t="s">
        <v>37</v>
      </c>
      <c r="I7" t="s">
        <v>36</v>
      </c>
      <c r="J7" t="s">
        <v>46</v>
      </c>
      <c r="K7">
        <v>40</v>
      </c>
      <c r="L7" t="s">
        <v>36</v>
      </c>
      <c r="M7" t="s">
        <v>46</v>
      </c>
      <c r="N7" t="s">
        <v>39</v>
      </c>
      <c r="O7">
        <v>107</v>
      </c>
      <c r="P7" t="s">
        <v>37</v>
      </c>
      <c r="Q7" t="s">
        <v>37</v>
      </c>
      <c r="R7" t="s">
        <v>37</v>
      </c>
      <c r="S7">
        <v>1</v>
      </c>
      <c r="T7" t="s">
        <v>40</v>
      </c>
      <c r="U7" t="s">
        <v>33</v>
      </c>
      <c r="V7" t="s">
        <v>33</v>
      </c>
      <c r="W7" t="s">
        <v>34</v>
      </c>
      <c r="X7" t="s">
        <v>33</v>
      </c>
      <c r="Y7" t="s">
        <v>41</v>
      </c>
      <c r="Z7" t="s">
        <v>42</v>
      </c>
      <c r="AA7" t="s">
        <v>42</v>
      </c>
      <c r="AB7" t="s">
        <v>34</v>
      </c>
      <c r="AC7" t="s">
        <v>56</v>
      </c>
      <c r="AD7">
        <v>4</v>
      </c>
      <c r="AE7" s="6" t="s">
        <v>44</v>
      </c>
      <c r="AF7" s="1">
        <f>(K7 + O7 + S7)</f>
        <v>148</v>
      </c>
      <c r="AG7" s="1">
        <v>2.4285714285714284</v>
      </c>
    </row>
    <row r="8" spans="1:33">
      <c r="A8">
        <v>7</v>
      </c>
      <c r="B8" t="s">
        <v>34</v>
      </c>
      <c r="C8" t="s">
        <v>33</v>
      </c>
      <c r="D8" t="s">
        <v>33</v>
      </c>
      <c r="E8" t="s">
        <v>34</v>
      </c>
      <c r="F8" t="s">
        <v>33</v>
      </c>
      <c r="G8" t="s">
        <v>57</v>
      </c>
      <c r="H8" t="s">
        <v>36</v>
      </c>
      <c r="I8" t="s">
        <v>46</v>
      </c>
      <c r="J8" t="s">
        <v>38</v>
      </c>
      <c r="K8">
        <v>39</v>
      </c>
      <c r="L8" t="s">
        <v>46</v>
      </c>
      <c r="M8" t="s">
        <v>36</v>
      </c>
      <c r="N8" t="s">
        <v>39</v>
      </c>
      <c r="O8">
        <v>105</v>
      </c>
      <c r="P8" t="s">
        <v>37</v>
      </c>
      <c r="Q8" t="s">
        <v>37</v>
      </c>
      <c r="R8" t="s">
        <v>37</v>
      </c>
      <c r="S8">
        <v>1</v>
      </c>
      <c r="T8" t="s">
        <v>40</v>
      </c>
      <c r="U8" t="s">
        <v>33</v>
      </c>
      <c r="V8" t="s">
        <v>33</v>
      </c>
      <c r="W8" t="s">
        <v>34</v>
      </c>
      <c r="X8" t="s">
        <v>33</v>
      </c>
      <c r="Y8" t="s">
        <v>42</v>
      </c>
      <c r="Z8" t="s">
        <v>42</v>
      </c>
      <c r="AA8" t="s">
        <v>42</v>
      </c>
      <c r="AB8" t="s">
        <v>34</v>
      </c>
      <c r="AC8" t="s">
        <v>58</v>
      </c>
      <c r="AD8">
        <v>4</v>
      </c>
      <c r="AE8" s="6" t="s">
        <v>44</v>
      </c>
      <c r="AF8" s="1">
        <f>(K8 + O8 + S8)</f>
        <v>145</v>
      </c>
      <c r="AG8" s="1">
        <v>2.2142857142857144</v>
      </c>
    </row>
    <row r="9" spans="1:33">
      <c r="A9">
        <v>7</v>
      </c>
      <c r="B9" t="s">
        <v>34</v>
      </c>
      <c r="C9" t="s">
        <v>34</v>
      </c>
      <c r="D9" t="s">
        <v>41</v>
      </c>
      <c r="E9" t="s">
        <v>41</v>
      </c>
      <c r="F9" t="s">
        <v>34</v>
      </c>
      <c r="G9" t="s">
        <v>59</v>
      </c>
      <c r="H9" t="s">
        <v>36</v>
      </c>
      <c r="I9" t="s">
        <v>36</v>
      </c>
      <c r="J9" t="s">
        <v>39</v>
      </c>
      <c r="K9">
        <v>29</v>
      </c>
      <c r="L9" t="s">
        <v>46</v>
      </c>
      <c r="M9" t="s">
        <v>38</v>
      </c>
      <c r="N9" t="s">
        <v>39</v>
      </c>
      <c r="O9">
        <v>115</v>
      </c>
      <c r="P9" t="s">
        <v>39</v>
      </c>
      <c r="Q9" t="s">
        <v>39</v>
      </c>
      <c r="R9" t="s">
        <v>46</v>
      </c>
      <c r="S9">
        <v>1</v>
      </c>
      <c r="T9" t="s">
        <v>40</v>
      </c>
      <c r="U9" t="s">
        <v>34</v>
      </c>
      <c r="V9" t="s">
        <v>33</v>
      </c>
      <c r="W9" t="s">
        <v>34</v>
      </c>
      <c r="X9" t="s">
        <v>33</v>
      </c>
      <c r="Y9" t="s">
        <v>41</v>
      </c>
      <c r="Z9" t="s">
        <v>34</v>
      </c>
      <c r="AA9" t="s">
        <v>41</v>
      </c>
      <c r="AB9" t="s">
        <v>34</v>
      </c>
      <c r="AC9" t="s">
        <v>60</v>
      </c>
      <c r="AD9">
        <v>5</v>
      </c>
      <c r="AE9" s="6" t="s">
        <v>44</v>
      </c>
      <c r="AF9" s="1">
        <f>(K9 + O9 + S9)</f>
        <v>145</v>
      </c>
      <c r="AG9" s="1">
        <v>3.5</v>
      </c>
    </row>
    <row r="10" spans="1:33">
      <c r="A10">
        <v>6</v>
      </c>
      <c r="B10" t="s">
        <v>33</v>
      </c>
      <c r="C10" t="s">
        <v>34</v>
      </c>
      <c r="D10" t="s">
        <v>33</v>
      </c>
      <c r="E10" t="s">
        <v>33</v>
      </c>
      <c r="F10" t="s">
        <v>33</v>
      </c>
      <c r="G10" t="s">
        <v>61</v>
      </c>
      <c r="H10" t="s">
        <v>37</v>
      </c>
      <c r="I10" t="s">
        <v>37</v>
      </c>
      <c r="J10" t="s">
        <v>37</v>
      </c>
      <c r="K10">
        <v>50</v>
      </c>
      <c r="L10" t="s">
        <v>36</v>
      </c>
      <c r="M10" t="s">
        <v>36</v>
      </c>
      <c r="N10" t="s">
        <v>46</v>
      </c>
      <c r="O10">
        <v>100</v>
      </c>
      <c r="P10" t="s">
        <v>37</v>
      </c>
      <c r="Q10" t="s">
        <v>37</v>
      </c>
      <c r="R10" t="s">
        <v>37</v>
      </c>
      <c r="S10">
        <v>1</v>
      </c>
      <c r="T10" t="s">
        <v>40</v>
      </c>
      <c r="U10" t="s">
        <v>34</v>
      </c>
      <c r="V10" t="s">
        <v>41</v>
      </c>
      <c r="W10" t="s">
        <v>34</v>
      </c>
      <c r="X10" t="s">
        <v>33</v>
      </c>
      <c r="Y10" t="s">
        <v>42</v>
      </c>
      <c r="Z10" t="s">
        <v>42</v>
      </c>
      <c r="AA10" t="s">
        <v>42</v>
      </c>
      <c r="AB10" t="s">
        <v>34</v>
      </c>
      <c r="AC10" t="s">
        <v>62</v>
      </c>
      <c r="AD10">
        <v>5</v>
      </c>
      <c r="AE10" s="6" t="s">
        <v>44</v>
      </c>
      <c r="AF10" s="1">
        <f>(K10 + O10 + S10)</f>
        <v>151</v>
      </c>
      <c r="AG10" s="1">
        <v>3.2857142857142856</v>
      </c>
    </row>
    <row r="11" spans="1:33" ht="305.25">
      <c r="A11">
        <v>8</v>
      </c>
      <c r="B11" s="1" t="s">
        <v>34</v>
      </c>
      <c r="C11" s="1" t="s">
        <v>34</v>
      </c>
      <c r="D11" s="1" t="s">
        <v>34</v>
      </c>
      <c r="E11" s="1" t="s">
        <v>34</v>
      </c>
      <c r="F11" s="1" t="s">
        <v>34</v>
      </c>
      <c r="G11" s="2" t="s">
        <v>63</v>
      </c>
      <c r="H11" s="1" t="s">
        <v>46</v>
      </c>
      <c r="I11" s="1" t="s">
        <v>38</v>
      </c>
      <c r="J11" s="1" t="s">
        <v>46</v>
      </c>
      <c r="K11">
        <v>40</v>
      </c>
      <c r="L11" s="1" t="s">
        <v>36</v>
      </c>
      <c r="M11" s="1" t="s">
        <v>36</v>
      </c>
      <c r="N11" s="1" t="s">
        <v>38</v>
      </c>
      <c r="O11">
        <v>115</v>
      </c>
      <c r="P11" s="1" t="s">
        <v>36</v>
      </c>
      <c r="Q11" s="1" t="s">
        <v>36</v>
      </c>
      <c r="R11" s="1" t="s">
        <v>38</v>
      </c>
      <c r="S11">
        <v>1</v>
      </c>
      <c r="T11" s="1" t="s">
        <v>40</v>
      </c>
      <c r="U11" s="1" t="s">
        <v>33</v>
      </c>
      <c r="V11" t="s">
        <v>34</v>
      </c>
      <c r="W11" s="1" t="s">
        <v>33</v>
      </c>
      <c r="X11" s="1" t="s">
        <v>41</v>
      </c>
      <c r="Y11" s="1" t="s">
        <v>33</v>
      </c>
      <c r="Z11" s="1" t="s">
        <v>33</v>
      </c>
      <c r="AA11" s="1" t="s">
        <v>33</v>
      </c>
      <c r="AB11" s="1" t="s">
        <v>41</v>
      </c>
      <c r="AC11" s="1" t="s">
        <v>64</v>
      </c>
      <c r="AD11">
        <v>4</v>
      </c>
      <c r="AE11" s="6" t="s">
        <v>44</v>
      </c>
      <c r="AF11" s="1">
        <f>(K11 + O11 + S11)</f>
        <v>156</v>
      </c>
      <c r="AG11" s="1">
        <v>1.6428571428571428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7BB2-5CE8-40FD-8A60-EF8F8A896547}">
  <dimension ref="A1:I11"/>
  <sheetViews>
    <sheetView workbookViewId="0">
      <selection activeCell="H2" sqref="H2:H11"/>
    </sheetView>
  </sheetViews>
  <sheetFormatPr defaultRowHeight="15"/>
  <cols>
    <col min="9" max="9" width="39.28515625" customWidth="1"/>
  </cols>
  <sheetData>
    <row r="1" spans="1:9">
      <c r="A1" t="s">
        <v>65</v>
      </c>
      <c r="B1" t="s">
        <v>66</v>
      </c>
      <c r="C1" t="s">
        <v>67</v>
      </c>
      <c r="D1" t="s">
        <v>68</v>
      </c>
      <c r="E1" t="s">
        <v>69</v>
      </c>
      <c r="F1" t="s">
        <v>70</v>
      </c>
      <c r="G1" t="s">
        <v>71</v>
      </c>
      <c r="H1" t="s">
        <v>72</v>
      </c>
      <c r="I1" t="s">
        <v>73</v>
      </c>
    </row>
    <row r="2" spans="1:9">
      <c r="A2">
        <v>10</v>
      </c>
      <c r="B2">
        <v>10</v>
      </c>
      <c r="C2">
        <v>10</v>
      </c>
      <c r="D2">
        <v>0</v>
      </c>
      <c r="E2">
        <v>0</v>
      </c>
      <c r="F2">
        <v>0</v>
      </c>
      <c r="G2">
        <v>0</v>
      </c>
      <c r="H2">
        <f>SUM(A2:G2)*5/70</f>
        <v>2.1428571428571428</v>
      </c>
      <c r="I2" t="s">
        <v>74</v>
      </c>
    </row>
    <row r="3" spans="1:9">
      <c r="A3">
        <v>5</v>
      </c>
      <c r="B3">
        <v>10</v>
      </c>
      <c r="C3">
        <v>8</v>
      </c>
      <c r="D3">
        <v>10</v>
      </c>
      <c r="E3">
        <v>6</v>
      </c>
      <c r="F3">
        <v>0</v>
      </c>
      <c r="G3">
        <v>0</v>
      </c>
      <c r="H3">
        <f t="shared" ref="H3:H21" si="0">SUM(A3:G3)*5/70</f>
        <v>2.7857142857142856</v>
      </c>
      <c r="I3" t="s">
        <v>75</v>
      </c>
    </row>
    <row r="4" spans="1:9">
      <c r="A4">
        <v>6</v>
      </c>
      <c r="B4">
        <v>10</v>
      </c>
      <c r="C4">
        <v>10</v>
      </c>
      <c r="D4">
        <v>10</v>
      </c>
      <c r="E4">
        <v>10</v>
      </c>
      <c r="F4">
        <v>0</v>
      </c>
      <c r="G4">
        <v>0</v>
      </c>
      <c r="H4">
        <f t="shared" si="0"/>
        <v>3.2857142857142856</v>
      </c>
      <c r="I4" t="s">
        <v>76</v>
      </c>
    </row>
    <row r="5" spans="1:9">
      <c r="A5">
        <v>10</v>
      </c>
      <c r="B5">
        <v>10</v>
      </c>
      <c r="C5">
        <v>7</v>
      </c>
      <c r="D5">
        <v>10</v>
      </c>
      <c r="E5">
        <v>7</v>
      </c>
      <c r="F5">
        <v>5</v>
      </c>
      <c r="G5">
        <v>0</v>
      </c>
      <c r="H5">
        <f t="shared" si="0"/>
        <v>3.5</v>
      </c>
      <c r="I5" t="s">
        <v>77</v>
      </c>
    </row>
    <row r="6" spans="1:9">
      <c r="A6">
        <v>10</v>
      </c>
      <c r="B6">
        <v>10</v>
      </c>
      <c r="C6">
        <v>10</v>
      </c>
      <c r="D6">
        <v>10</v>
      </c>
      <c r="E6">
        <v>9</v>
      </c>
      <c r="F6">
        <v>5</v>
      </c>
      <c r="G6">
        <v>0</v>
      </c>
      <c r="H6">
        <f t="shared" si="0"/>
        <v>3.8571428571428572</v>
      </c>
      <c r="I6" t="s">
        <v>78</v>
      </c>
    </row>
    <row r="7" spans="1:9">
      <c r="A7">
        <v>8</v>
      </c>
      <c r="B7">
        <v>10</v>
      </c>
      <c r="C7">
        <v>6</v>
      </c>
      <c r="D7">
        <v>10</v>
      </c>
      <c r="E7">
        <v>0</v>
      </c>
      <c r="F7">
        <v>0</v>
      </c>
      <c r="G7">
        <v>0</v>
      </c>
      <c r="H7">
        <f t="shared" si="0"/>
        <v>2.4285714285714284</v>
      </c>
      <c r="I7" t="s">
        <v>79</v>
      </c>
    </row>
    <row r="8" spans="1:9">
      <c r="A8">
        <v>4</v>
      </c>
      <c r="B8">
        <v>10</v>
      </c>
      <c r="C8">
        <v>6</v>
      </c>
      <c r="D8">
        <v>8</v>
      </c>
      <c r="E8">
        <v>3</v>
      </c>
      <c r="F8">
        <v>0</v>
      </c>
      <c r="G8">
        <v>0</v>
      </c>
      <c r="H8">
        <f t="shared" si="0"/>
        <v>2.2142857142857144</v>
      </c>
      <c r="I8" t="s">
        <v>80</v>
      </c>
    </row>
    <row r="9" spans="1:9">
      <c r="A9">
        <v>10</v>
      </c>
      <c r="B9">
        <v>10</v>
      </c>
      <c r="C9">
        <v>8</v>
      </c>
      <c r="D9">
        <v>10</v>
      </c>
      <c r="E9">
        <v>8</v>
      </c>
      <c r="F9">
        <v>4</v>
      </c>
      <c r="G9">
        <v>0</v>
      </c>
      <c r="H9">
        <f t="shared" si="0"/>
        <v>3.5714285714285716</v>
      </c>
      <c r="I9" t="s">
        <v>81</v>
      </c>
    </row>
    <row r="10" spans="1:9">
      <c r="A10">
        <v>8</v>
      </c>
      <c r="B10">
        <v>10</v>
      </c>
      <c r="C10">
        <v>10</v>
      </c>
      <c r="D10">
        <v>10</v>
      </c>
      <c r="E10">
        <v>8</v>
      </c>
      <c r="F10">
        <v>0</v>
      </c>
      <c r="G10">
        <v>0</v>
      </c>
      <c r="H10">
        <f t="shared" si="0"/>
        <v>3.2857142857142856</v>
      </c>
      <c r="I10" t="s">
        <v>82</v>
      </c>
    </row>
    <row r="11" spans="1:9">
      <c r="A11">
        <v>8</v>
      </c>
      <c r="B11">
        <v>8</v>
      </c>
      <c r="C11">
        <v>2</v>
      </c>
      <c r="D11">
        <v>5</v>
      </c>
      <c r="E11">
        <v>0</v>
      </c>
      <c r="F11">
        <v>0</v>
      </c>
      <c r="G11">
        <v>0</v>
      </c>
      <c r="H11">
        <f t="shared" si="0"/>
        <v>1.6428571428571428</v>
      </c>
      <c r="I11" t="s">
        <v>83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2026-03-06T02:50:09Z</dcterms:created>
  <dcterms:modified xsi:type="dcterms:W3CDTF">2026-06-17T00:17:30Z</dcterms:modified>
  <cp:category/>
  <cp:contentStatus/>
</cp:coreProperties>
</file>